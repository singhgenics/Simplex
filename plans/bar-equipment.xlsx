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 equ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A2420"/>
      </patternFill>
    </fill>
    <fill>
      <patternFill patternType="solid">
        <fgColor rgb="00EFE6D3"/>
      </patternFill>
    </fill>
    <fill>
      <patternFill patternType="solid">
        <fgColor rgb="00FFF9E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1" pivotButton="0" quotePrefix="0" xfId="0"/>
    <xf numFmtId="4" fontId="3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4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34" customWidth="1" min="3" max="3"/>
    <col width="24" customWidth="1" min="4" max="4"/>
    <col width="44" customWidth="1" min="5" max="5"/>
    <col width="6" customWidth="1" min="6" max="6"/>
    <col width="6" customWidth="1" min="7" max="7"/>
    <col width="12" customWidth="1" min="8" max="8"/>
    <col width="14" customWidth="1" min="9" max="9"/>
    <col width="24" customWidth="1" min="10" max="10"/>
  </cols>
  <sheetData>
    <row r="1">
      <c r="A1" s="1" t="inlineStr">
        <is>
          <t>Bar equipment · Betalbatim pub</t>
        </is>
      </c>
    </row>
    <row r="2" ht="34" customHeight="1">
      <c r="A2" s="2" t="inlineStr">
        <is>
          <t>Shop 4, Tulip Residency, Gandaulim, Salcete, South Goa. Equipment and stainless pieces only; the rest of the bar is in the full bar list. Sizes W × D × H in metres, the space available. Fill the yellow cells; amounts and totals calculate; rates ex-GST.</t>
        </is>
      </c>
    </row>
    <row r="4">
      <c r="A4" s="3" t="inlineStr">
        <is>
          <t>No.</t>
        </is>
      </c>
      <c r="B4" s="3" t="inlineStr">
        <is>
          <t>Item</t>
        </is>
      </c>
      <c r="C4" s="3" t="inlineStr">
        <is>
          <t>Where it goes</t>
        </is>
      </c>
      <c r="D4" s="3" t="inlineStr">
        <is>
          <t>Size W × D × H (m)</t>
        </is>
      </c>
      <c r="E4" s="3" t="inlineStr">
        <is>
          <t>Notes</t>
        </is>
      </c>
      <c r="F4" s="3" t="inlineStr">
        <is>
          <t>Unit</t>
        </is>
      </c>
      <c r="G4" s="3" t="inlineStr">
        <is>
          <t>Qty</t>
        </is>
      </c>
      <c r="H4" s="3" t="inlineStr">
        <is>
          <t>Rate (₹)</t>
        </is>
      </c>
      <c r="I4" s="3" t="inlineStr">
        <is>
          <t>Amount (₹)</t>
        </is>
      </c>
      <c r="J4" s="3" t="inlineStr">
        <is>
          <t>Make / model</t>
        </is>
      </c>
    </row>
    <row r="5" ht="36" customHeight="1">
      <c r="A5" s="4" t="inlineStr">
        <is>
          <t>1</t>
        </is>
      </c>
      <c r="B5" s="4" t="inlineStr">
        <is>
          <t>Bar equipment (machines)</t>
        </is>
      </c>
      <c r="C5" s="4" t="n"/>
      <c r="D5" s="4" t="n"/>
      <c r="E5" s="4" t="inlineStr">
        <is>
          <t>To be supplied by the equipment vendor. Sizes are the space available in the bar: do not quote a wider unit.</t>
        </is>
      </c>
      <c r="F5" s="4" t="n"/>
      <c r="G5" s="4" t="n"/>
      <c r="H5" s="4" t="n"/>
      <c r="I5" s="4" t="n"/>
      <c r="J5" s="4" t="n"/>
    </row>
    <row r="6">
      <c r="A6" s="5" t="n">
        <v>1</v>
      </c>
      <c r="B6" s="5" t="inlineStr">
        <is>
          <t>Flash chiller</t>
        </is>
      </c>
      <c r="C6" s="5" t="inlineStr">
        <is>
          <t>In the keg cabinet, beside the kegs</t>
        </is>
      </c>
      <c r="D6" s="5" t="inlineStr">
        <is>
          <t>0.50 × 0.42 × 0.57</t>
        </is>
      </c>
      <c r="E6" s="5" t="inlineStr">
        <is>
          <t>Self-contained, no outdoor unit, rated for room-temperature kegs in the tropics; chills the beer on its way to the taps</t>
        </is>
      </c>
      <c r="F6" s="5" t="inlineStr">
        <is>
          <t>nos</t>
        </is>
      </c>
      <c r="G6" s="5" t="n">
        <v>1</v>
      </c>
      <c r="H6" s="6" t="n"/>
      <c r="I6" s="7">
        <f>IF(H6="","",G6*H6)</f>
        <v/>
      </c>
      <c r="J6" s="8" t="n"/>
    </row>
    <row r="7">
      <c r="A7" s="5" t="n">
        <v>2</v>
      </c>
      <c r="B7" s="5" t="inlineStr">
        <is>
          <t>Under-counter glasswasher</t>
        </is>
      </c>
      <c r="C7" s="5" t="inlineStr">
        <is>
          <t>In the built-in cabinet, toward the far end</t>
        </is>
      </c>
      <c r="D7" s="5" t="inlineStr">
        <is>
          <t>0.45 × 0.50 × 0.82</t>
        </is>
      </c>
      <c r="E7" s="5" t="inlineStr">
        <is>
          <t>Drop-down door; hot and cold water and a drain</t>
        </is>
      </c>
      <c r="F7" s="5" t="inlineStr">
        <is>
          <t>nos</t>
        </is>
      </c>
      <c r="G7" s="5" t="n">
        <v>1</v>
      </c>
      <c r="H7" s="6" t="n"/>
      <c r="I7" s="7">
        <f>IF(H7="","",G7*H7)</f>
        <v/>
      </c>
      <c r="J7" s="8" t="n"/>
    </row>
    <row r="8">
      <c r="A8" s="5" t="n">
        <v>3</v>
      </c>
      <c r="B8" s="5" t="inlineStr">
        <is>
          <t>Glass-door drinks cooler</t>
        </is>
      </c>
      <c r="C8" s="5" t="inlineStr">
        <is>
          <t>In the built-in cabinet, toward the door</t>
        </is>
      </c>
      <c r="D8" s="5" t="inlineStr">
        <is>
          <t>0.70 × 0.52 × 0.86</t>
        </is>
      </c>
      <c r="E8" s="5" t="inlineStr">
        <is>
          <t>Lit; for mixers, water and soft drinks; state litres</t>
        </is>
      </c>
      <c r="F8" s="5" t="inlineStr">
        <is>
          <t>nos</t>
        </is>
      </c>
      <c r="G8" s="5" t="n">
        <v>1</v>
      </c>
      <c r="H8" s="6" t="n"/>
      <c r="I8" s="7">
        <f>IF(H8="","",G8*H8)</f>
        <v/>
      </c>
      <c r="J8" s="8" t="n"/>
    </row>
    <row r="9">
      <c r="A9" s="5" t="n">
        <v>4</v>
      </c>
      <c r="B9" s="5" t="inlineStr">
        <is>
          <t>Ice machine, under-counter</t>
        </is>
      </c>
      <c r="C9" s="5" t="inlineStr">
        <is>
          <t>Under the counter beside the work unit</t>
        </is>
      </c>
      <c r="D9" s="5" t="inlineStr">
        <is>
          <t>0.50 × 0.55 × 0.80</t>
        </is>
      </c>
      <c r="E9" s="5" t="inlineStr">
        <is>
          <t>About 50 kg a day; filtered cold water and a drain</t>
        </is>
      </c>
      <c r="F9" s="5" t="inlineStr">
        <is>
          <t>nos</t>
        </is>
      </c>
      <c r="G9" s="5" t="n">
        <v>1</v>
      </c>
      <c r="H9" s="6" t="n"/>
      <c r="I9" s="7">
        <f>IF(H9="","",G9*H9)</f>
        <v/>
      </c>
      <c r="J9" s="8" t="n"/>
    </row>
    <row r="10">
      <c r="A10" s="5" t="n">
        <v>5</v>
      </c>
      <c r="B10" s="5" t="inlineStr">
        <is>
          <t>Coffee batch brewer with 2 jugs</t>
        </is>
      </c>
      <c r="C10" s="5" t="inlineStr">
        <is>
          <t>On the station counter</t>
        </is>
      </c>
      <c r="D10" s="5" t="inlineStr">
        <is>
          <t>on the 0.80 × 0.50 counter</t>
        </is>
      </c>
      <c r="E10" s="5" t="inlineStr">
        <is>
          <t>State the make, model and size</t>
        </is>
      </c>
      <c r="F10" s="5" t="inlineStr">
        <is>
          <t>nos</t>
        </is>
      </c>
      <c r="G10" s="5" t="n">
        <v>1</v>
      </c>
      <c r="H10" s="6" t="n"/>
      <c r="I10" s="7">
        <f>IF(H10="","",G10*H10)</f>
        <v/>
      </c>
      <c r="J10" s="8" t="n"/>
    </row>
    <row r="11">
      <c r="A11" s="5" t="n">
        <v>6</v>
      </c>
      <c r="B11" s="5" t="inlineStr">
        <is>
          <t>Water dispenser</t>
        </is>
      </c>
      <c r="C11" s="5" t="inlineStr">
        <is>
          <t>On the station counter</t>
        </is>
      </c>
      <c r="D11" s="5" t="inlineStr">
        <is>
          <t>on the 0.80 × 0.50 counter</t>
        </is>
      </c>
      <c r="E11" s="5" t="inlineStr">
        <is>
          <t>State the make, model and size</t>
        </is>
      </c>
      <c r="F11" s="5" t="inlineStr">
        <is>
          <t>nos</t>
        </is>
      </c>
      <c r="G11" s="5" t="n">
        <v>1</v>
      </c>
      <c r="H11" s="6" t="n"/>
      <c r="I11" s="7">
        <f>IF(H11="","",G11*H11)</f>
        <v/>
      </c>
      <c r="J11" s="8" t="n"/>
    </row>
    <row r="12">
      <c r="A12" s="5" t="n">
        <v>7</v>
      </c>
      <c r="B12" s="5" t="inlineStr">
        <is>
          <t>Milk warmer</t>
        </is>
      </c>
      <c r="C12" s="5" t="inlineStr">
        <is>
          <t>On the station counter</t>
        </is>
      </c>
      <c r="D12" s="5" t="inlineStr">
        <is>
          <t>on the 0.80 × 0.50 counter</t>
        </is>
      </c>
      <c r="E12" s="5" t="inlineStr">
        <is>
          <t>State the make, model and size</t>
        </is>
      </c>
      <c r="F12" s="5" t="inlineStr">
        <is>
          <t>nos</t>
        </is>
      </c>
      <c r="G12" s="5" t="n">
        <v>1</v>
      </c>
      <c r="H12" s="6" t="n"/>
      <c r="I12" s="7">
        <f>IF(H12="","",G12*H12)</f>
        <v/>
      </c>
      <c r="J12" s="8" t="n"/>
    </row>
    <row r="13">
      <c r="A13" s="9" t="n"/>
      <c r="B13" s="9" t="inlineStr">
        <is>
          <t>Subtotal, group 1</t>
        </is>
      </c>
      <c r="C13" s="9" t="n"/>
      <c r="D13" s="9" t="n"/>
      <c r="E13" s="9" t="n"/>
      <c r="F13" s="9" t="n"/>
      <c r="G13" s="9" t="n"/>
      <c r="H13" s="9" t="n"/>
      <c r="I13" s="10">
        <f>SUM(I6:I12)</f>
        <v/>
      </c>
      <c r="J13" s="9" t="n"/>
    </row>
    <row r="15" ht="36" customHeight="1">
      <c r="A15" s="4" t="inlineStr">
        <is>
          <t>2</t>
        </is>
      </c>
      <c r="B15" s="4" t="inlineStr">
        <is>
          <t>Stainless pieces the fabricator can also make</t>
        </is>
      </c>
      <c r="C15" s="4" t="n"/>
      <c r="D15" s="4" t="n"/>
      <c r="E15" s="4" t="inlineStr">
        <is>
          <t>Stainless steel 304 fabrication, the same as the kitchen work. Drawn in the model; the fabricator measures on site.</t>
        </is>
      </c>
      <c r="F15" s="4" t="n"/>
      <c r="G15" s="4" t="n"/>
      <c r="H15" s="4" t="n"/>
      <c r="I15" s="4" t="n"/>
      <c r="J15" s="4" t="n"/>
    </row>
    <row r="16">
      <c r="A16" s="5" t="n">
        <v>8</v>
      </c>
      <c r="B16" s="5" t="inlineStr">
        <is>
          <t>Stainless work unit</t>
        </is>
      </c>
      <c r="C16" s="5" t="inlineStr">
        <is>
          <t>Behind the counter, bartender side, far end</t>
        </is>
      </c>
      <c r="D16" s="5" t="inlineStr">
        <is>
          <t>1.06 × 0.20 × 0.85</t>
        </is>
      </c>
      <c r="E16" s="5" t="inlineStr">
        <is>
          <t>Holds the sink basin and the speed rail below; one continuous stainless unit</t>
        </is>
      </c>
      <c r="F16" s="5" t="inlineStr">
        <is>
          <t>nos</t>
        </is>
      </c>
      <c r="G16" s="5" t="n">
        <v>1</v>
      </c>
      <c r="H16" s="6" t="n"/>
      <c r="I16" s="7">
        <f>IF(H16="","",G16*H16)</f>
        <v/>
      </c>
      <c r="J16" s="8" t="n"/>
    </row>
    <row r="17">
      <c r="A17" s="5" t="n">
        <v>9</v>
      </c>
      <c r="B17" s="5" t="inlineStr">
        <is>
          <t>Bar sink / ice well basin</t>
        </is>
      </c>
      <c r="C17" s="5" t="inlineStr">
        <is>
          <t>Set into the top of the work unit</t>
        </is>
      </c>
      <c r="D17" s="5" t="inlineStr">
        <is>
          <t>0.38 × 0.16 × 0.16</t>
        </is>
      </c>
      <c r="E17" s="5" t="inlineStr">
        <is>
          <t>One basin used for washing and as the ice well; hot and cold tap, drains to the grey-water line. The vendor may propose a deeper basin (then the unit depth changes)</t>
        </is>
      </c>
      <c r="F17" s="5" t="inlineStr">
        <is>
          <t>nos</t>
        </is>
      </c>
      <c r="G17" s="5" t="n">
        <v>1</v>
      </c>
      <c r="H17" s="6" t="n"/>
      <c r="I17" s="7">
        <f>IF(H17="","",G17*H17)</f>
        <v/>
      </c>
      <c r="J17" s="8" t="n"/>
    </row>
    <row r="18">
      <c r="A18" s="5" t="n">
        <v>10</v>
      </c>
      <c r="B18" s="5" t="inlineStr">
        <is>
          <t>Speed rail</t>
        </is>
      </c>
      <c r="C18" s="5" t="inlineStr">
        <is>
          <t>Along the front of the work unit</t>
        </is>
      </c>
      <c r="D18" s="5" t="inlineStr">
        <is>
          <t>1.06 long (depth and height to suit the unit)</t>
        </is>
      </c>
      <c r="E18" s="5" t="inlineStr">
        <is>
          <t>Holds the everyday spirit bottles within reach</t>
        </is>
      </c>
      <c r="F18" s="5" t="inlineStr">
        <is>
          <t>nos</t>
        </is>
      </c>
      <c r="G18" s="5" t="n">
        <v>1</v>
      </c>
      <c r="H18" s="6" t="n"/>
      <c r="I18" s="7">
        <f>IF(H18="","",G18*H18)</f>
        <v/>
      </c>
      <c r="J18" s="8" t="n"/>
    </row>
    <row r="19">
      <c r="A19" s="9" t="n"/>
      <c r="B19" s="9" t="inlineStr">
        <is>
          <t>Subtotal, group 2</t>
        </is>
      </c>
      <c r="C19" s="9" t="n"/>
      <c r="D19" s="9" t="n"/>
      <c r="E19" s="9" t="n"/>
      <c r="F19" s="9" t="n"/>
      <c r="G19" s="9" t="n"/>
      <c r="H19" s="9" t="n"/>
      <c r="I19" s="10">
        <f>SUM(I16:I18)</f>
        <v/>
      </c>
      <c r="J19" s="9" t="n"/>
    </row>
    <row r="21" ht="36" customHeight="1">
      <c r="A21" s="4" t="inlineStr">
        <is>
          <t>3</t>
        </is>
      </c>
      <c r="B21" s="4" t="inlineStr">
        <is>
          <t>Draught gear (usually supplied by the brewery; list for fitting space only)</t>
        </is>
      </c>
      <c r="C21" s="4" t="n"/>
      <c r="D21" s="4" t="n"/>
      <c r="E21" s="4" t="inlineStr">
        <is>
          <t>Do not price these unless the brewery asks you to; the fabricator needs the sizes to leave room.</t>
        </is>
      </c>
      <c r="F21" s="4" t="n"/>
      <c r="G21" s="4" t="n"/>
      <c r="H21" s="4" t="n"/>
      <c r="I21" s="4" t="n"/>
      <c r="J21" s="4" t="n"/>
    </row>
    <row r="22">
      <c r="A22" s="5" t="n">
        <v>11</v>
      </c>
      <c r="B22" s="5" t="inlineStr">
        <is>
          <t>Beer font with 3 taps</t>
        </is>
      </c>
      <c r="C22" s="5" t="inlineStr">
        <is>
          <t>On top of the counter, door end</t>
        </is>
      </c>
      <c r="D22" s="5" t="inlineStr">
        <is>
          <t>0.09 × 0.09 × 0.42</t>
        </is>
      </c>
      <c r="E22" s="5" t="inlineStr">
        <is>
          <t>One brass font, 3 taps; tap handles to the brewery brand. The brewery may lend this (get it in writing)</t>
        </is>
      </c>
      <c r="F22" s="5" t="inlineStr">
        <is>
          <t>nos</t>
        </is>
      </c>
      <c r="G22" s="5" t="n">
        <v>1</v>
      </c>
      <c r="H22" s="6" t="n"/>
      <c r="I22" s="7">
        <f>IF(H22="","",G22*H22)</f>
        <v/>
      </c>
      <c r="J22" s="8" t="n"/>
    </row>
    <row r="23">
      <c r="A23" s="5" t="n">
        <v>12</v>
      </c>
      <c r="B23" s="5" t="inlineStr">
        <is>
          <t>Keg 20 L with coupler</t>
        </is>
      </c>
      <c r="C23" s="5" t="inlineStr">
        <is>
          <t>On the roll-out base in the keg cabinet</t>
        </is>
      </c>
      <c r="D23" s="5" t="inlineStr">
        <is>
          <t>0.24 × 0.24 × 0.42</t>
        </is>
      </c>
      <c r="E23" s="5" t="inlineStr">
        <is>
          <t>3 on tap, one per tap; supplied by the brewery</t>
        </is>
      </c>
      <c r="F23" s="5" t="inlineStr">
        <is>
          <t>nos</t>
        </is>
      </c>
      <c r="G23" s="5" t="n">
        <v>3</v>
      </c>
      <c r="H23" s="6" t="n"/>
      <c r="I23" s="7">
        <f>IF(H23="","",G23*H23)</f>
        <v/>
      </c>
      <c r="J23" s="8" t="n"/>
    </row>
    <row r="24">
      <c r="A24" s="5" t="n">
        <v>13</v>
      </c>
      <c r="B24" s="5" t="inlineStr">
        <is>
          <t>CO₂ cylinder with regulator and chain</t>
        </is>
      </c>
      <c r="C24" s="5" t="inlineStr">
        <is>
          <t>In the back-bar cabinet under the infusion jars (a different place from the kegs)</t>
        </is>
      </c>
      <c r="D24" s="5" t="inlineStr">
        <is>
          <t>0.15 × 0.15 × 0.67</t>
        </is>
      </c>
      <c r="E24" s="5" t="inlineStr">
        <is>
          <t>Cylinder with regulator; the gas supplier fills it</t>
        </is>
      </c>
      <c r="F24" s="5" t="inlineStr">
        <is>
          <t>nos</t>
        </is>
      </c>
      <c r="G24" s="5" t="n">
        <v>1</v>
      </c>
      <c r="H24" s="6" t="n"/>
      <c r="I24" s="7">
        <f>IF(H24="","",G24*H24)</f>
        <v/>
      </c>
      <c r="J24" s="8" t="n"/>
    </row>
    <row r="25">
      <c r="A25" s="9" t="n"/>
      <c r="B25" s="9" t="inlineStr">
        <is>
          <t>Subtotal, group 3</t>
        </is>
      </c>
      <c r="C25" s="9" t="n"/>
      <c r="D25" s="9" t="n"/>
      <c r="E25" s="9" t="n"/>
      <c r="F25" s="9" t="n"/>
      <c r="G25" s="9" t="n"/>
      <c r="H25" s="9" t="n"/>
      <c r="I25" s="10">
        <f>SUM(I22:I24)</f>
        <v/>
      </c>
      <c r="J25" s="9" t="n"/>
    </row>
    <row r="27">
      <c r="B27" s="11" t="inlineStr">
        <is>
          <t>Total (ex-GST)</t>
        </is>
      </c>
      <c r="I27" s="12">
        <f>I13+I19+I25</f>
        <v/>
      </c>
    </row>
    <row r="28">
      <c r="B28" s="11" t="inlineStr">
        <is>
          <t>Freight and unloading</t>
        </is>
      </c>
      <c r="I28" s="13" t="n"/>
    </row>
    <row r="29">
      <c r="B29" s="11" t="inlineStr">
        <is>
          <t>Installation and connections</t>
        </is>
      </c>
      <c r="I29" s="13" t="n"/>
    </row>
    <row r="30">
      <c r="B30" s="11" t="inlineStr">
        <is>
          <t>GST rate (%)</t>
        </is>
      </c>
      <c r="I30" s="13" t="n">
        <v>18</v>
      </c>
    </row>
    <row r="31">
      <c r="B31" s="11" t="inlineStr">
        <is>
          <t>GST</t>
        </is>
      </c>
      <c r="I31" s="12">
        <f>ROUND((I27+I28+I29)*I30/100,2)</f>
        <v/>
      </c>
    </row>
    <row r="32">
      <c r="B32" s="11" t="inlineStr">
        <is>
          <t>Grand total including GST</t>
        </is>
      </c>
      <c r="I32" s="12">
        <f>I27+I28+I29+I31</f>
        <v/>
      </c>
    </row>
  </sheetData>
  <mergeCells count="1">
    <mergeCell ref="A2:J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2026-10-18T17:23:47Z</dcterms:created>
  <dcterms:modified xsi:type="dcterms:W3CDTF">2026-10-18T17:23:47Z</dcterms:modified>
</cp:coreProperties>
</file>