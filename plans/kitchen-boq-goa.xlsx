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Q" sheetId="1" state="visible" r:id="rId1"/>
    <sheet name="Notes" sheetId="2" state="visible" r:id="rId2"/>
  </sheets>
  <definedNames>
    <definedName name="_xlnm.Print_Titles" localSheetId="0">'BOQ'!$5:$5</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color rgb="00FFFFFF"/>
    </font>
    <font>
      <b val="1"/>
    </font>
    <font>
      <b val="1"/>
      <sz val="13"/>
    </font>
  </fonts>
  <fills count="5">
    <fill>
      <patternFill/>
    </fill>
    <fill>
      <patternFill patternType="gray125"/>
    </fill>
    <fill>
      <patternFill patternType="solid">
        <fgColor rgb="002A2420"/>
      </patternFill>
    </fill>
    <fill>
      <patternFill patternType="solid">
        <fgColor rgb="00EFE6D3"/>
      </patternFill>
    </fill>
    <fill>
      <patternFill patternType="solid">
        <fgColor rgb="00FFF9E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vertical="center" wrapText="1"/>
    </xf>
    <xf numFmtId="0" fontId="3" fillId="3"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xf numFmtId="4" fontId="0" fillId="4" borderId="1" applyAlignment="1" pivotButton="0" quotePrefix="0" xfId="0">
      <alignment vertical="top" wrapText="1"/>
    </xf>
    <xf numFmtId="4" fontId="0" fillId="0" borderId="1" applyAlignment="1" pivotButton="0" quotePrefix="0" xfId="0">
      <alignment vertical="top" wrapText="1"/>
    </xf>
    <xf numFmtId="0" fontId="0" fillId="4" borderId="1" applyAlignment="1" pivotButton="0" quotePrefix="0" xfId="0">
      <alignment vertical="top" wrapText="1"/>
    </xf>
    <xf numFmtId="0" fontId="3" fillId="0" borderId="1" pivotButton="0" quotePrefix="0" xfId="0"/>
    <xf numFmtId="4" fontId="3" fillId="0" borderId="1" pivotButton="0" quotePrefix="0" xfId="0"/>
    <xf numFmtId="0" fontId="3" fillId="0" borderId="0" pivotButton="0" quotePrefix="0" xfId="0"/>
    <xf numFmtId="4" fontId="3" fillId="0" borderId="0" pivotButton="0" quotePrefix="0" xfId="0"/>
    <xf numFmtId="4" fontId="3" fillId="4" borderId="0" pivotButton="0" quotePrefix="0" xfId="0"/>
    <xf numFmtId="0" fontId="3" fillId="3" borderId="0" pivotButton="0" quotePrefix="0" xfId="0"/>
    <xf numFmtId="4" fontId="3" fillId="3"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6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20" customWidth="1" min="3" max="3"/>
    <col width="20" customWidth="1" min="4" max="4"/>
    <col width="58" customWidth="1" min="5" max="5"/>
    <col width="7" customWidth="1" min="6" max="6"/>
    <col width="7" customWidth="1" min="7" max="7"/>
    <col width="10" customWidth="1" min="8" max="8"/>
    <col width="8" customWidth="1" min="9" max="9"/>
    <col width="13" customWidth="1" min="10" max="10"/>
    <col width="13" customWidth="1" min="11" max="11"/>
    <col width="14" customWidth="1" min="12" max="12"/>
    <col width="26" customWidth="1" min="13" max="13"/>
    <col width="9" customWidth="1" min="14" max="14"/>
  </cols>
  <sheetData>
    <row r="1">
      <c r="A1" s="1" t="inlineStr">
        <is>
          <t>BOQ · kitchen equipment and exhaust · Betalbatim pub</t>
        </is>
      </c>
    </row>
    <row r="2" ht="30" customHeight="1">
      <c r="A2" s="2" t="inlineStr">
        <is>
          <t>Shop 4, Tulip Residency, Gandaulim, Salcete, South Goa. Sizes in feet and inches with mm alongside; sheet in SWG; airflow in CFM; cooling in TR. Gas, plumbing, electrical, civil and fire work are in the main BOQ.</t>
        </is>
      </c>
    </row>
    <row r="3" ht="30" customHeight="1">
      <c r="A3" s="2" t="inlineStr">
        <is>
          <t>Fill the yellow cells. Enter a rate per unit, OR a rate per running foot or per sq ft in the basis column: the amount takes whichever you fill (per unit first). Rates ex-GST; freight, installation and GST at the bottom.</t>
        </is>
      </c>
    </row>
    <row r="5" ht="42" customHeight="1">
      <c r="A5" s="3" t="inlineStr">
        <is>
          <t>No.</t>
        </is>
      </c>
      <c r="B5" s="3" t="inlineStr">
        <is>
          <t>Item / type</t>
        </is>
      </c>
      <c r="C5" s="3" t="inlineStr">
        <is>
          <t>Size W × D × H (ft-in)</t>
        </is>
      </c>
      <c r="D5" s="3" t="inlineStr">
        <is>
          <t>Size (mm)</t>
        </is>
      </c>
      <c r="E5" s="3" t="inlineStr">
        <is>
          <t>Gauge, capacity, specification</t>
        </is>
      </c>
      <c r="F5" s="3" t="inlineStr">
        <is>
          <t>Unit</t>
        </is>
      </c>
      <c r="G5" s="3" t="inlineStr">
        <is>
          <t>Qty</t>
        </is>
      </c>
      <c r="H5" s="3" t="inlineStr">
        <is>
          <t>Per-foot basis qty</t>
        </is>
      </c>
      <c r="I5" s="3" t="inlineStr">
        <is>
          <t>Basis unit</t>
        </is>
      </c>
      <c r="J5" s="3" t="inlineStr">
        <is>
          <t>Rate per unit (₹)</t>
        </is>
      </c>
      <c r="K5" s="3" t="inlineStr">
        <is>
          <t>Rate per basis unit (₹)</t>
        </is>
      </c>
      <c r="L5" s="3" t="inlineStr">
        <is>
          <t>Amount (₹)</t>
        </is>
      </c>
      <c r="M5" s="3" t="inlineStr">
        <is>
          <t>Make / model / remarks</t>
        </is>
      </c>
      <c r="N5" s="3" t="inlineStr">
        <is>
          <t>Main BOQ no.</t>
        </is>
      </c>
    </row>
    <row r="6" ht="62" customHeight="1">
      <c r="A6" s="4" t="inlineStr"/>
      <c r="B6" s="4" t="inlineStr">
        <is>
          <t>Stainless steel fabrication</t>
        </is>
      </c>
      <c r="C6" s="4" t="n"/>
      <c r="D6" s="4" t="n"/>
      <c r="E6" s="4" t="inlineStr">
        <is>
          <t>SS 304. Worktops 18 SWG (1.2 mm), bodies and shelves 19 SWG (1.0 mm), legs 1½" (38 mm) tube, welded and polished joints, adjustable feet. Vendor confirms or corrects the gauge and states it on the quote.</t>
        </is>
      </c>
      <c r="F6" s="4" t="n"/>
      <c r="G6" s="4" t="n"/>
      <c r="H6" s="4" t="n"/>
      <c r="I6" s="4" t="n"/>
      <c r="J6" s="4" t="n"/>
      <c r="K6" s="4" t="n"/>
      <c r="L6" s="4" t="n"/>
      <c r="M6" s="4" t="n"/>
      <c r="N6" s="4" t="n"/>
    </row>
    <row r="7">
      <c r="A7" s="5" t="inlineStr">
        <is>
          <t>1</t>
        </is>
      </c>
      <c r="B7" s="5" t="inlineStr">
        <is>
          <t>Non-veg prep bench</t>
        </is>
      </c>
      <c r="C7" s="5" t="inlineStr">
        <is>
          <t>2'-7½" × 2'-1½" × 2'-11½"</t>
        </is>
      </c>
      <c r="D7" s="5" t="inlineStr">
        <is>
          <t>800 × 650 × 900</t>
        </is>
      </c>
      <c r="E7" s="5" t="inlineStr">
        <is>
          <t>Open undershelf for the board rack, 100 mm back upstand</t>
        </is>
      </c>
      <c r="F7" s="5" t="inlineStr">
        <is>
          <t>nos</t>
        </is>
      </c>
      <c r="G7" s="6" t="n">
        <v>1</v>
      </c>
      <c r="H7" s="6" t="n">
        <v>2.6</v>
      </c>
      <c r="I7" s="5" t="inlineStr">
        <is>
          <t>run ft</t>
        </is>
      </c>
      <c r="J7" s="7" t="n"/>
      <c r="K7" s="7" t="n"/>
      <c r="L7" s="8">
        <f>IF(J7&lt;&gt;"",G7*J7,IF(AND(K7&lt;&gt;"",H7&lt;&gt;""),H7*K7,""))</f>
        <v/>
      </c>
      <c r="M7" s="9" t="n"/>
      <c r="N7" s="5" t="inlineStr">
        <is>
          <t>A.01</t>
        </is>
      </c>
    </row>
    <row r="8">
      <c r="A8" s="5" t="inlineStr">
        <is>
          <t>2</t>
        </is>
      </c>
      <c r="B8" s="5" t="inlineStr">
        <is>
          <t>Dumpling and veg prep bench</t>
        </is>
      </c>
      <c r="C8" s="5" t="inlineStr">
        <is>
          <t>2'-7½" × 2'-1½" × 2'-11½"</t>
        </is>
      </c>
      <c r="D8" s="5" t="inlineStr">
        <is>
          <t>800 × 650 × 900</t>
        </is>
      </c>
      <c r="E8" s="5" t="inlineStr">
        <is>
          <t>Top over the under-counter freezer (B.07); two wall shelves over</t>
        </is>
      </c>
      <c r="F8" s="5" t="inlineStr">
        <is>
          <t>nos</t>
        </is>
      </c>
      <c r="G8" s="6" t="n">
        <v>1</v>
      </c>
      <c r="H8" s="6" t="n">
        <v>2.6</v>
      </c>
      <c r="I8" s="5" t="inlineStr">
        <is>
          <t>run ft</t>
        </is>
      </c>
      <c r="J8" s="7" t="n"/>
      <c r="K8" s="7" t="n"/>
      <c r="L8" s="8">
        <f>IF(J8&lt;&gt;"",G8*J8,IF(AND(K8&lt;&gt;"",H8&lt;&gt;""),H8*K8,""))</f>
        <v/>
      </c>
      <c r="M8" s="9" t="n"/>
      <c r="N8" s="5" t="inlineStr">
        <is>
          <t>A.02</t>
        </is>
      </c>
    </row>
    <row r="9">
      <c r="A9" s="5" t="inlineStr">
        <is>
          <t>3</t>
        </is>
      </c>
      <c r="B9" s="5" t="inlineStr">
        <is>
          <t>Pass counter</t>
        </is>
      </c>
      <c r="C9" s="5" t="inlineStr">
        <is>
          <t>2'-1½" × 2'-1½" × 2'-11½"</t>
        </is>
      </c>
      <c r="D9" s="5" t="inlineStr">
        <is>
          <t>650 × 650 × 900</t>
        </is>
      </c>
      <c r="E9" s="5" t="inlineStr">
        <is>
          <t>Heat-lamp bracket; hatch ledge 700 mm through the wall</t>
        </is>
      </c>
      <c r="F9" s="5" t="inlineStr">
        <is>
          <t>nos</t>
        </is>
      </c>
      <c r="G9" s="6" t="n">
        <v>1</v>
      </c>
      <c r="H9" s="6" t="n">
        <v>2.1</v>
      </c>
      <c r="I9" s="5" t="inlineStr">
        <is>
          <t>run ft</t>
        </is>
      </c>
      <c r="J9" s="7" t="n"/>
      <c r="K9" s="7" t="n"/>
      <c r="L9" s="8">
        <f>IF(J9&lt;&gt;"",G9*J9,IF(AND(K9&lt;&gt;"",H9&lt;&gt;""),H9*K9,""))</f>
        <v/>
      </c>
      <c r="M9" s="9" t="n"/>
      <c r="N9" s="5" t="inlineStr">
        <is>
          <t>A.03</t>
        </is>
      </c>
    </row>
    <row r="10">
      <c r="A10" s="5" t="inlineStr">
        <is>
          <t>4</t>
        </is>
      </c>
      <c r="B10" s="5" t="inlineStr">
        <is>
          <t>Dish sink, 2 bowls</t>
        </is>
      </c>
      <c r="C10" s="5" t="inlineStr">
        <is>
          <t>2'-7½" × 2'-1½" × 2'-11½"</t>
        </is>
      </c>
      <c r="D10" s="5" t="inlineStr">
        <is>
          <t>800 × 650 × 900</t>
        </is>
      </c>
      <c r="E10" s="5" t="inlineStr">
        <is>
          <t>Pre-rinse spray bracket, undershelf, legs</t>
        </is>
      </c>
      <c r="F10" s="5" t="inlineStr">
        <is>
          <t>nos</t>
        </is>
      </c>
      <c r="G10" s="6" t="n">
        <v>1</v>
      </c>
      <c r="H10" s="6" t="n">
        <v>2.6</v>
      </c>
      <c r="I10" s="5" t="inlineStr">
        <is>
          <t>run ft</t>
        </is>
      </c>
      <c r="J10" s="7" t="n"/>
      <c r="K10" s="7" t="n"/>
      <c r="L10" s="8">
        <f>IF(J10&lt;&gt;"",G10*J10,IF(AND(K10&lt;&gt;"",H10&lt;&gt;""),H10*K10,""))</f>
        <v/>
      </c>
      <c r="M10" s="9" t="n"/>
      <c r="N10" s="5" t="inlineStr">
        <is>
          <t>A.04</t>
        </is>
      </c>
    </row>
    <row r="11">
      <c r="A11" s="5" t="inlineStr">
        <is>
          <t>5</t>
        </is>
      </c>
      <c r="B11" s="5" t="inlineStr">
        <is>
          <t>Wall shelf over the dish line</t>
        </is>
      </c>
      <c r="C11" s="5" t="inlineStr">
        <is>
          <t>4'-7" × 1'-2"</t>
        </is>
      </c>
      <c r="D11" s="5" t="inlineStr">
        <is>
          <t>1,400 × 350</t>
        </is>
      </c>
      <c r="E11" s="5" t="inlineStr">
        <is>
          <t>One plain, one slatted for bamboo steamer baskets</t>
        </is>
      </c>
      <c r="F11" s="5" t="inlineStr">
        <is>
          <t>nos</t>
        </is>
      </c>
      <c r="G11" s="6" t="n">
        <v>2</v>
      </c>
      <c r="H11" s="6" t="n">
        <v>9.199999999999999</v>
      </c>
      <c r="I11" s="5" t="inlineStr">
        <is>
          <t>run ft</t>
        </is>
      </c>
      <c r="J11" s="7" t="n"/>
      <c r="K11" s="7" t="n"/>
      <c r="L11" s="8">
        <f>IF(J11&lt;&gt;"",G11*J11,IF(AND(K11&lt;&gt;"",H11&lt;&gt;""),H11*K11,""))</f>
        <v/>
      </c>
      <c r="M11" s="9" t="n"/>
      <c r="N11" s="5" t="inlineStr">
        <is>
          <t>A.05</t>
        </is>
      </c>
    </row>
    <row r="12">
      <c r="A12" s="5" t="inlineStr">
        <is>
          <t>6</t>
        </is>
      </c>
      <c r="B12" s="5" t="inlineStr">
        <is>
          <t>Veg and herb wash sink</t>
        </is>
      </c>
      <c r="C12" s="5" t="inlineStr">
        <is>
          <t>1'-5½" × 1'-7½" × 2'-11½"</t>
        </is>
      </c>
      <c r="D12" s="5" t="inlineStr">
        <is>
          <t>450 × 500 × 900</t>
        </is>
      </c>
      <c r="E12" s="5" t="inlineStr">
        <is>
          <t>Single bowl, legs, undershelf</t>
        </is>
      </c>
      <c r="F12" s="5" t="inlineStr">
        <is>
          <t>nos</t>
        </is>
      </c>
      <c r="G12" s="6" t="n">
        <v>1</v>
      </c>
      <c r="H12" s="6" t="n">
        <v>1.5</v>
      </c>
      <c r="I12" s="5" t="inlineStr">
        <is>
          <t>run ft</t>
        </is>
      </c>
      <c r="J12" s="7" t="n"/>
      <c r="K12" s="7" t="n"/>
      <c r="L12" s="8">
        <f>IF(J12&lt;&gt;"",G12*J12,IF(AND(K12&lt;&gt;"",H12&lt;&gt;""),H12*K12,""))</f>
        <v/>
      </c>
      <c r="M12" s="9" t="n"/>
      <c r="N12" s="5" t="inlineStr">
        <is>
          <t>A.06</t>
        </is>
      </c>
    </row>
    <row r="13">
      <c r="A13" s="5" t="inlineStr">
        <is>
          <t>7</t>
        </is>
      </c>
      <c r="B13" s="5" t="inlineStr">
        <is>
          <t>Sauce and oil wall shelf</t>
        </is>
      </c>
      <c r="C13" s="5" t="inlineStr">
        <is>
          <t>2'-11½" × 1'-0"</t>
        </is>
      </c>
      <c r="D13" s="5" t="inlineStr">
        <is>
          <t>900 × 300</t>
        </is>
      </c>
      <c r="E13" s="5" t="inlineStr">
        <is>
          <t>Back-up stock, fixed at 1.45 m</t>
        </is>
      </c>
      <c r="F13" s="5" t="inlineStr">
        <is>
          <t>nos</t>
        </is>
      </c>
      <c r="G13" s="6" t="n">
        <v>1</v>
      </c>
      <c r="H13" s="6" t="n">
        <v>3</v>
      </c>
      <c r="I13" s="5" t="inlineStr">
        <is>
          <t>run ft</t>
        </is>
      </c>
      <c r="J13" s="7" t="n"/>
      <c r="K13" s="7" t="n"/>
      <c r="L13" s="8">
        <f>IF(J13&lt;&gt;"",G13*J13,IF(AND(K13&lt;&gt;"",H13&lt;&gt;""),H13*K13,""))</f>
        <v/>
      </c>
      <c r="M13" s="9" t="n"/>
      <c r="N13" s="5" t="inlineStr">
        <is>
          <t>A.07</t>
        </is>
      </c>
    </row>
    <row r="14">
      <c r="A14" s="5" t="inlineStr">
        <is>
          <t>8</t>
        </is>
      </c>
      <c r="B14" s="5" t="inlineStr">
        <is>
          <t>Wok seasoning rail</t>
        </is>
      </c>
      <c r="C14" s="5" t="inlineStr">
        <is>
          <t>1'-5½" × 8½"</t>
        </is>
      </c>
      <c r="D14" s="5" t="inlineStr">
        <is>
          <t>440 × 220</t>
        </is>
      </c>
      <c r="E14" s="5" t="inlineStr">
        <is>
          <t>At 1.0 m; 8 lidded pots and a rack for 8 squeeze bottles</t>
        </is>
      </c>
      <c r="F14" s="5" t="inlineStr">
        <is>
          <t>set</t>
        </is>
      </c>
      <c r="G14" s="6" t="n">
        <v>1</v>
      </c>
      <c r="H14" s="6" t="n">
        <v>1.4</v>
      </c>
      <c r="I14" s="5" t="inlineStr">
        <is>
          <t>run ft</t>
        </is>
      </c>
      <c r="J14" s="7" t="n"/>
      <c r="K14" s="7" t="n"/>
      <c r="L14" s="8">
        <f>IF(J14&lt;&gt;"",G14*J14,IF(AND(K14&lt;&gt;"",H14&lt;&gt;""),H14*K14,""))</f>
        <v/>
      </c>
      <c r="M14" s="9" t="n"/>
      <c r="N14" s="5" t="inlineStr">
        <is>
          <t>A.08</t>
        </is>
      </c>
    </row>
    <row r="15">
      <c r="A15" s="5" t="inlineStr">
        <is>
          <t>9</t>
        </is>
      </c>
      <c r="B15" s="5" t="inlineStr">
        <is>
          <t>Wok tool rail</t>
        </is>
      </c>
      <c r="C15" s="5" t="inlineStr">
        <is>
          <t>1'-6½" long</t>
        </is>
      </c>
      <c r="D15" s="5" t="inlineStr">
        <is>
          <t>470 long</t>
        </is>
      </c>
      <c r="E15" s="5" t="inlineStr">
        <is>
          <t>At 1.4 m with 4 hooks</t>
        </is>
      </c>
      <c r="F15" s="5" t="inlineStr">
        <is>
          <t>nos</t>
        </is>
      </c>
      <c r="G15" s="6" t="n">
        <v>1</v>
      </c>
      <c r="H15" s="6" t="n">
        <v>1.5</v>
      </c>
      <c r="I15" s="5" t="inlineStr">
        <is>
          <t>run ft</t>
        </is>
      </c>
      <c r="J15" s="7" t="n"/>
      <c r="K15" s="7" t="n"/>
      <c r="L15" s="8">
        <f>IF(J15&lt;&gt;"",G15*J15,IF(AND(K15&lt;&gt;"",H15&lt;&gt;""),H15*K15,""))</f>
        <v/>
      </c>
      <c r="M15" s="9" t="n"/>
      <c r="N15" s="5" t="inlineStr">
        <is>
          <t>A.09</t>
        </is>
      </c>
    </row>
    <row r="16">
      <c r="A16" s="5" t="inlineStr">
        <is>
          <t>10</t>
        </is>
      </c>
      <c r="B16" s="5" t="inlineStr">
        <is>
          <t>Chilled mise-en-place rail</t>
        </is>
      </c>
      <c r="C16" s="5" t="inlineStr">
        <is>
          <t>2'-6" × 10" × 8½"</t>
        </is>
      </c>
      <c r="D16" s="5" t="inlineStr">
        <is>
          <t>760 × 260 × 220</t>
        </is>
      </c>
      <c r="E16" s="5" t="inlineStr">
        <is>
          <t>Counter-top unit for 5 pans</t>
        </is>
      </c>
      <c r="F16" s="5" t="inlineStr">
        <is>
          <t>nos</t>
        </is>
      </c>
      <c r="G16" s="6" t="n">
        <v>1</v>
      </c>
      <c r="H16" s="6" t="n">
        <v>2.5</v>
      </c>
      <c r="I16" s="5" t="inlineStr">
        <is>
          <t>run ft</t>
        </is>
      </c>
      <c r="J16" s="7" t="n"/>
      <c r="K16" s="7" t="n"/>
      <c r="L16" s="8">
        <f>IF(J16&lt;&gt;"",G16*J16,IF(AND(K16&lt;&gt;"",H16&lt;&gt;""),H16*K16,""))</f>
        <v/>
      </c>
      <c r="M16" s="9" t="n"/>
      <c r="N16" s="5" t="inlineStr">
        <is>
          <t>A.10</t>
        </is>
      </c>
    </row>
    <row r="17">
      <c r="A17" s="5" t="inlineStr">
        <is>
          <t>11</t>
        </is>
      </c>
      <c r="B17" s="5" t="inlineStr">
        <is>
          <t>Dip and garnish rail</t>
        </is>
      </c>
      <c r="C17" s="5" t="inlineStr">
        <is>
          <t>2'-1½" × 4½"</t>
        </is>
      </c>
      <c r="D17" s="5" t="inlineStr">
        <is>
          <t>650 × 120</t>
        </is>
      </c>
      <c r="E17" s="5" t="inlineStr">
        <is>
          <t>5 inserts, on the pass</t>
        </is>
      </c>
      <c r="F17" s="5" t="inlineStr">
        <is>
          <t>nos</t>
        </is>
      </c>
      <c r="G17" s="6" t="n">
        <v>1</v>
      </c>
      <c r="H17" s="6" t="n">
        <v>2.1</v>
      </c>
      <c r="I17" s="5" t="inlineStr">
        <is>
          <t>run ft</t>
        </is>
      </c>
      <c r="J17" s="7" t="n"/>
      <c r="K17" s="7" t="n"/>
      <c r="L17" s="8">
        <f>IF(J17&lt;&gt;"",G17*J17,IF(AND(K17&lt;&gt;"",H17&lt;&gt;""),H17*K17,""))</f>
        <v/>
      </c>
      <c r="M17" s="9" t="n"/>
      <c r="N17" s="5" t="inlineStr">
        <is>
          <t>A.11</t>
        </is>
      </c>
    </row>
    <row r="18">
      <c r="A18" s="5" t="inlineStr">
        <is>
          <t>12</t>
        </is>
      </c>
      <c r="B18" s="5" t="inlineStr">
        <is>
          <t>Ticket rail</t>
        </is>
      </c>
      <c r="C18" s="5" t="inlineStr">
        <is>
          <t>2'-1½" long</t>
        </is>
      </c>
      <c r="D18" s="5" t="inlineStr">
        <is>
          <t>650 long</t>
        </is>
      </c>
      <c r="E18" s="5" t="inlineStr">
        <is>
          <t>Above the pass hatch</t>
        </is>
      </c>
      <c r="F18" s="5" t="inlineStr">
        <is>
          <t>nos</t>
        </is>
      </c>
      <c r="G18" s="6" t="n">
        <v>1</v>
      </c>
      <c r="H18" s="6" t="n">
        <v>2.1</v>
      </c>
      <c r="I18" s="5" t="inlineStr">
        <is>
          <t>run ft</t>
        </is>
      </c>
      <c r="J18" s="7" t="n"/>
      <c r="K18" s="7" t="n"/>
      <c r="L18" s="8">
        <f>IF(J18&lt;&gt;"",G18*J18,IF(AND(K18&lt;&gt;"",H18&lt;&gt;""),H18*K18,""))</f>
        <v/>
      </c>
      <c r="M18" s="9" t="n"/>
      <c r="N18" s="5" t="inlineStr">
        <is>
          <t>A.12</t>
        </is>
      </c>
    </row>
    <row r="19">
      <c r="A19" s="5" t="inlineStr">
        <is>
          <t>13</t>
        </is>
      </c>
      <c r="B19" s="5" t="inlineStr">
        <is>
          <t>Magnetic knife strip</t>
        </is>
      </c>
      <c r="C19" s="5" t="inlineStr">
        <is>
          <t>1'-3½" long</t>
        </is>
      </c>
      <c r="D19" s="5" t="inlineStr">
        <is>
          <t>400 long</t>
        </is>
      </c>
      <c r="E19" s="5" t="inlineStr"/>
      <c r="F19" s="5" t="inlineStr">
        <is>
          <t>nos</t>
        </is>
      </c>
      <c r="G19" s="6" t="n">
        <v>2</v>
      </c>
      <c r="H19" s="6" t="n">
        <v>2.6</v>
      </c>
      <c r="I19" s="5" t="inlineStr">
        <is>
          <t>run ft</t>
        </is>
      </c>
      <c r="J19" s="7" t="n"/>
      <c r="K19" s="7" t="n"/>
      <c r="L19" s="8">
        <f>IF(J19&lt;&gt;"",G19*J19,IF(AND(K19&lt;&gt;"",H19&lt;&gt;""),H19*K19,""))</f>
        <v/>
      </c>
      <c r="M19" s="9" t="n"/>
      <c r="N19" s="5" t="inlineStr">
        <is>
          <t>A.13</t>
        </is>
      </c>
    </row>
    <row r="20">
      <c r="A20" s="5" t="inlineStr">
        <is>
          <t>14</t>
        </is>
      </c>
      <c r="B20" s="5" t="inlineStr">
        <is>
          <t>Cutting-board rack</t>
        </is>
      </c>
      <c r="C20" s="5" t="inlineStr">
        <is>
          <t>11" × 1'-4½" × 1'-4½"</t>
        </is>
      </c>
      <c r="D20" s="5" t="inlineStr">
        <is>
          <t>280 × 420 × 420</t>
        </is>
      </c>
      <c r="E20" s="5" t="inlineStr">
        <is>
          <t>Slots for 4 colour-coded boards, under the non-veg bench</t>
        </is>
      </c>
      <c r="F20" s="5" t="inlineStr">
        <is>
          <t>nos</t>
        </is>
      </c>
      <c r="G20" s="6" t="n">
        <v>1</v>
      </c>
      <c r="H20" s="6" t="n"/>
      <c r="I20" s="5" t="n"/>
      <c r="J20" s="7" t="n"/>
      <c r="K20" s="7" t="n"/>
      <c r="L20" s="8">
        <f>IF(J20&lt;&gt;"",G20*J20,IF(AND(K20&lt;&gt;"",H20&lt;&gt;""),H20*K20,""))</f>
        <v/>
      </c>
      <c r="M20" s="9" t="n"/>
      <c r="N20" s="5" t="inlineStr">
        <is>
          <t>A.14</t>
        </is>
      </c>
    </row>
    <row r="21">
      <c r="A21" s="5" t="inlineStr">
        <is>
          <t>15</t>
        </is>
      </c>
      <c r="B21" s="5" t="inlineStr">
        <is>
          <t>Floor channel drain</t>
        </is>
      </c>
      <c r="C21" s="5" t="inlineStr">
        <is>
          <t>10'-4" × 3"</t>
        </is>
      </c>
      <c r="D21" s="5" t="inlineStr">
        <is>
          <t>3,150 × 80</t>
        </is>
      </c>
      <c r="E21" s="5" t="inlineStr">
        <is>
          <t>SS grating, falls to the grease trap (3.15 m)</t>
        </is>
      </c>
      <c r="F21" s="5" t="inlineStr">
        <is>
          <t>run ft</t>
        </is>
      </c>
      <c r="G21" s="6" t="n">
        <v>10.3</v>
      </c>
      <c r="H21" s="6" t="n"/>
      <c r="I21" s="5" t="n"/>
      <c r="J21" s="7" t="n"/>
      <c r="K21" s="7" t="n"/>
      <c r="L21" s="8">
        <f>IF(J21&lt;&gt;"",G21*J21,IF(AND(K21&lt;&gt;"",H21&lt;&gt;""),H21*K21,""))</f>
        <v/>
      </c>
      <c r="M21" s="9" t="n"/>
      <c r="N21" s="5" t="inlineStr">
        <is>
          <t>A.15</t>
        </is>
      </c>
    </row>
    <row r="22">
      <c r="A22" s="5" t="inlineStr">
        <is>
          <t>16</t>
        </is>
      </c>
      <c r="B22" s="5" t="inlineStr">
        <is>
          <t>Storage deck racking</t>
        </is>
      </c>
      <c r="C22" s="5" t="inlineStr">
        <is>
          <t>1'-5½" × 6'-8½" · 6'-3" × 1'-5½" · 2'-7½" × 1'-5½"</t>
        </is>
      </c>
      <c r="D22" s="5" t="inlineStr">
        <is>
          <t>450 × 2,050 · 1,900 × 450 · 800 × 450</t>
        </is>
      </c>
      <c r="E22" s="5" t="inlineStr">
        <is>
          <t>SS or galvanised, 3 tiers, one rack of each size</t>
        </is>
      </c>
      <c r="F22" s="5" t="inlineStr">
        <is>
          <t>nos</t>
        </is>
      </c>
      <c r="G22" s="6" t="n">
        <v>3</v>
      </c>
      <c r="H22" s="6" t="n"/>
      <c r="I22" s="5" t="n"/>
      <c r="J22" s="7" t="n"/>
      <c r="K22" s="7" t="n"/>
      <c r="L22" s="8">
        <f>IF(J22&lt;&gt;"",G22*J22,IF(AND(K22&lt;&gt;"",H22&lt;&gt;""),H22*K22,""))</f>
        <v/>
      </c>
      <c r="M22" s="9" t="n"/>
      <c r="N22" s="5" t="inlineStr">
        <is>
          <t>A.19</t>
        </is>
      </c>
    </row>
    <row r="23">
      <c r="A23" s="5" t="inlineStr">
        <is>
          <t>17</t>
        </is>
      </c>
      <c r="B23" s="5" t="inlineStr">
        <is>
          <t>Ceiling hatch frame with fold-down ladder</t>
        </is>
      </c>
      <c r="C23" s="5" t="inlineStr">
        <is>
          <t>1'-11½" × 2'-7½" opening</t>
        </is>
      </c>
      <c r="D23" s="5" t="inlineStr">
        <is>
          <t>600 × 800 opening</t>
        </is>
      </c>
      <c r="E23" s="5" t="inlineStr">
        <is>
          <t>For light goods; heavy stock goes on the hoist (B.21)</t>
        </is>
      </c>
      <c r="F23" s="5" t="inlineStr">
        <is>
          <t>nos</t>
        </is>
      </c>
      <c r="G23" s="6" t="n">
        <v>1</v>
      </c>
      <c r="H23" s="6" t="n"/>
      <c r="I23" s="5" t="n"/>
      <c r="J23" s="7" t="n"/>
      <c r="K23" s="7" t="n"/>
      <c r="L23" s="8">
        <f>IF(J23&lt;&gt;"",G23*J23,IF(AND(K23&lt;&gt;"",H23&lt;&gt;""),H23*K23,""))</f>
        <v/>
      </c>
      <c r="M23" s="9" t="n"/>
      <c r="N23" s="5" t="inlineStr">
        <is>
          <t>A.20</t>
        </is>
      </c>
    </row>
    <row r="24">
      <c r="A24" s="10" t="n"/>
      <c r="B24" s="10" t="inlineStr">
        <is>
          <t>Subtotal, section 1</t>
        </is>
      </c>
      <c r="C24" s="10" t="n"/>
      <c r="D24" s="10" t="n"/>
      <c r="E24" s="10" t="n"/>
      <c r="F24" s="10" t="n"/>
      <c r="G24" s="10" t="n"/>
      <c r="H24" s="10" t="n"/>
      <c r="I24" s="10" t="n"/>
      <c r="J24" s="10" t="n"/>
      <c r="K24" s="10" t="n"/>
      <c r="L24" s="11">
        <f>SUM(L7:L23)</f>
        <v/>
      </c>
      <c r="M24" s="10" t="n"/>
      <c r="N24" s="10" t="n"/>
    </row>
    <row r="26" ht="62" customHeight="1">
      <c r="A26" s="4" t="inlineStr"/>
      <c r="B26" s="4" t="inlineStr">
        <is>
          <t>Cooking, cold and kitchen equipment (branded)</t>
        </is>
      </c>
      <c r="C26" s="4" t="n"/>
      <c r="D26" s="4" t="n"/>
      <c r="E26" s="4" t="inlineStr">
        <is>
          <t>State make and model, burner rating in kW (or kcal/hr), litres for each cold unit, and who services it in Goa. Sizes are the space available: do not quote a wider unit.</t>
        </is>
      </c>
      <c r="F26" s="4" t="n"/>
      <c r="G26" s="4" t="n"/>
      <c r="H26" s="4" t="n"/>
      <c r="I26" s="4" t="n"/>
      <c r="J26" s="4" t="n"/>
      <c r="K26" s="4" t="n"/>
      <c r="L26" s="4" t="n"/>
      <c r="M26" s="4" t="n"/>
      <c r="N26" s="4" t="n"/>
    </row>
    <row r="27">
      <c r="A27" s="5" t="inlineStr">
        <is>
          <t>18</t>
        </is>
      </c>
      <c r="B27" s="5" t="inlineStr">
        <is>
          <t>Chinese wok range, 2 burners</t>
        </is>
      </c>
      <c r="C27" s="5" t="inlineStr">
        <is>
          <t>3'-11" × 2'-7½" × 2'-7½"</t>
        </is>
      </c>
      <c r="D27" s="5" t="inlineStr">
        <is>
          <t>1,200 × 800 × 800</t>
        </is>
      </c>
      <c r="E27" s="5" t="inlineStr">
        <is>
          <t>LPG; state burner kW. 750 to 900 mm deep is acceptable (aisle is 0.95 m at the range)</t>
        </is>
      </c>
      <c r="F27" s="5" t="inlineStr">
        <is>
          <t>nos</t>
        </is>
      </c>
      <c r="G27" s="6" t="n">
        <v>1</v>
      </c>
      <c r="H27" s="6" t="n"/>
      <c r="I27" s="5" t="n"/>
      <c r="J27" s="7" t="n"/>
      <c r="K27" s="7" t="n"/>
      <c r="L27" s="8">
        <f>IF(J27&lt;&gt;"",G27*J27,IF(AND(K27&lt;&gt;"",H27&lt;&gt;""),H27*K27,""))</f>
        <v/>
      </c>
      <c r="M27" s="9" t="n"/>
      <c r="N27" s="5" t="inlineStr">
        <is>
          <t>B.01</t>
        </is>
      </c>
    </row>
    <row r="28">
      <c r="A28" s="5" t="inlineStr">
        <is>
          <t>19</t>
        </is>
      </c>
      <c r="B28" s="5" t="inlineStr">
        <is>
          <t>Dim sum steamer, 2 holes</t>
        </is>
      </c>
      <c r="C28" s="5" t="inlineStr">
        <is>
          <t>1'-11½" × 2'-3½" × 2'-7½"</t>
        </is>
      </c>
      <c r="D28" s="5" t="inlineStr">
        <is>
          <t>600 × 700 × 800</t>
        </is>
      </c>
      <c r="E28" s="5" t="inlineStr">
        <is>
          <t>LPG; with water top-up</t>
        </is>
      </c>
      <c r="F28" s="5" t="inlineStr">
        <is>
          <t>nos</t>
        </is>
      </c>
      <c r="G28" s="6" t="n">
        <v>1</v>
      </c>
      <c r="H28" s="6" t="n"/>
      <c r="I28" s="5" t="n"/>
      <c r="J28" s="7" t="n"/>
      <c r="K28" s="7" t="n"/>
      <c r="L28" s="8">
        <f>IF(J28&lt;&gt;"",G28*J28,IF(AND(K28&lt;&gt;"",H28&lt;&gt;""),H28*K28,""))</f>
        <v/>
      </c>
      <c r="M28" s="9" t="n"/>
      <c r="N28" s="5" t="inlineStr">
        <is>
          <t>B.02</t>
        </is>
      </c>
    </row>
    <row r="29">
      <c r="A29" s="5" t="inlineStr">
        <is>
          <t>20</t>
        </is>
      </c>
      <c r="B29" s="5" t="inlineStr">
        <is>
          <t>Twin-tank fryer</t>
        </is>
      </c>
      <c r="C29" s="5" t="inlineStr">
        <is>
          <t>1'-11½" × 2'-3½" × 2'-11½"</t>
        </is>
      </c>
      <c r="D29" s="5" t="inlineStr">
        <is>
          <t>600 × 700 × 900</t>
        </is>
      </c>
      <c r="E29" s="5" t="inlineStr">
        <is>
          <t>LPG; two tanks (veg and non-veg oil)</t>
        </is>
      </c>
      <c r="F29" s="5" t="inlineStr">
        <is>
          <t>nos</t>
        </is>
      </c>
      <c r="G29" s="6" t="n">
        <v>1</v>
      </c>
      <c r="H29" s="6" t="n"/>
      <c r="I29" s="5" t="n"/>
      <c r="J29" s="7" t="n"/>
      <c r="K29" s="7" t="n"/>
      <c r="L29" s="8">
        <f>IF(J29&lt;&gt;"",G29*J29,IF(AND(K29&lt;&gt;"",H29&lt;&gt;""),H29*K29,""))</f>
        <v/>
      </c>
      <c r="M29" s="9" t="n"/>
      <c r="N29" s="5" t="inlineStr">
        <is>
          <t>B.03</t>
        </is>
      </c>
    </row>
    <row r="30">
      <c r="A30" s="5" t="inlineStr">
        <is>
          <t>21</t>
        </is>
      </c>
      <c r="B30" s="5" t="inlineStr">
        <is>
          <t>Stock range, 2 burners</t>
        </is>
      </c>
      <c r="C30" s="5" t="inlineStr">
        <is>
          <t>1'-11½" × 2'-3½" × 2'-9½"</t>
        </is>
      </c>
      <c r="D30" s="5" t="inlineStr">
        <is>
          <t>600 × 700 × 850</t>
        </is>
      </c>
      <c r="E30" s="5" t="inlineStr">
        <is>
          <t>LPG; for 20 L stock pots</t>
        </is>
      </c>
      <c r="F30" s="5" t="inlineStr">
        <is>
          <t>nos</t>
        </is>
      </c>
      <c r="G30" s="6" t="n">
        <v>1</v>
      </c>
      <c r="H30" s="6" t="n"/>
      <c r="I30" s="5" t="n"/>
      <c r="J30" s="7" t="n"/>
      <c r="K30" s="7" t="n"/>
      <c r="L30" s="8">
        <f>IF(J30&lt;&gt;"",G30*J30,IF(AND(K30&lt;&gt;"",H30&lt;&gt;""),H30*K30,""))</f>
        <v/>
      </c>
      <c r="M30" s="9" t="n"/>
      <c r="N30" s="5" t="inlineStr">
        <is>
          <t>B.04</t>
        </is>
      </c>
    </row>
    <row r="31">
      <c r="A31" s="5" t="inlineStr">
        <is>
          <t>22</t>
        </is>
      </c>
      <c r="B31" s="5" t="inlineStr">
        <is>
          <t>Reach-in, 2 doors, dual temperature</t>
        </is>
      </c>
      <c r="C31" s="5" t="inlineStr">
        <is>
          <t>3'-1½" × 2'-5½" × 6'-6½"</t>
        </is>
      </c>
      <c r="D31" s="5" t="inlineStr">
        <is>
          <t>950 × 750 × 2,000</t>
        </is>
      </c>
      <c r="E31" s="5" t="inlineStr">
        <is>
          <t>About 800 L: fridge door at the front, freezer door at the back, doors open into the aisle; state litres of each side</t>
        </is>
      </c>
      <c r="F31" s="5" t="inlineStr">
        <is>
          <t>nos</t>
        </is>
      </c>
      <c r="G31" s="6" t="n">
        <v>1</v>
      </c>
      <c r="H31" s="6" t="n"/>
      <c r="I31" s="5" t="n"/>
      <c r="J31" s="7" t="n"/>
      <c r="K31" s="7" t="n"/>
      <c r="L31" s="8">
        <f>IF(J31&lt;&gt;"",G31*J31,IF(AND(K31&lt;&gt;"",H31&lt;&gt;""),H31*K31,""))</f>
        <v/>
      </c>
      <c r="M31" s="9" t="n"/>
      <c r="N31" s="5" t="inlineStr">
        <is>
          <t>B.05</t>
        </is>
      </c>
    </row>
    <row r="32">
      <c r="A32" s="5" t="inlineStr">
        <is>
          <t>23</t>
        </is>
      </c>
      <c r="B32" s="5" t="inlineStr">
        <is>
          <t>Under-counter fridge (pass)</t>
        </is>
      </c>
      <c r="C32" s="5" t="inlineStr">
        <is>
          <t>1'-11½" × 1'-9½" × 2'-3½"</t>
        </is>
      </c>
      <c r="D32" s="5" t="inlineStr">
        <is>
          <t>600 × 550 × 700</t>
        </is>
      </c>
      <c r="E32" s="5" t="inlineStr">
        <is>
          <t>Sauce bases and cut veg; state litres</t>
        </is>
      </c>
      <c r="F32" s="5" t="inlineStr">
        <is>
          <t>nos</t>
        </is>
      </c>
      <c r="G32" s="6" t="n">
        <v>1</v>
      </c>
      <c r="H32" s="6" t="n"/>
      <c r="I32" s="5" t="n"/>
      <c r="J32" s="7" t="n"/>
      <c r="K32" s="7" t="n"/>
      <c r="L32" s="8">
        <f>IF(J32&lt;&gt;"",G32*J32,IF(AND(K32&lt;&gt;"",H32&lt;&gt;""),H32*K32,""))</f>
        <v/>
      </c>
      <c r="M32" s="9" t="n"/>
      <c r="N32" s="5" t="inlineStr">
        <is>
          <t>B.06</t>
        </is>
      </c>
    </row>
    <row r="33">
      <c r="A33" s="5" t="inlineStr">
        <is>
          <t>24</t>
        </is>
      </c>
      <c r="B33" s="5" t="inlineStr">
        <is>
          <t>Under-counter freezer, 2 doors</t>
        </is>
      </c>
      <c r="C33" s="5" t="inlineStr">
        <is>
          <t>fits under 2'-7½" × 2'-1½"</t>
        </is>
      </c>
      <c r="D33" s="5" t="inlineStr">
        <is>
          <t>fits under 800 × 650</t>
        </is>
      </c>
      <c r="E33" s="5" t="inlineStr">
        <is>
          <t>State litres (target about 650 L of freezer in all with the reach-in)</t>
        </is>
      </c>
      <c r="F33" s="5" t="inlineStr">
        <is>
          <t>nos</t>
        </is>
      </c>
      <c r="G33" s="6" t="n">
        <v>1</v>
      </c>
      <c r="H33" s="6" t="n"/>
      <c r="I33" s="5" t="n"/>
      <c r="J33" s="7" t="n"/>
      <c r="K33" s="7" t="n"/>
      <c r="L33" s="8">
        <f>IF(J33&lt;&gt;"",G33*J33,IF(AND(K33&lt;&gt;"",H33&lt;&gt;""),H33*K33,""))</f>
        <v/>
      </c>
      <c r="M33" s="9" t="n"/>
      <c r="N33" s="5" t="inlineStr">
        <is>
          <t>B.07</t>
        </is>
      </c>
    </row>
    <row r="34">
      <c r="A34" s="5" t="inlineStr">
        <is>
          <t>25</t>
        </is>
      </c>
      <c r="B34" s="5" t="inlineStr">
        <is>
          <t>Under-counter dishwasher</t>
        </is>
      </c>
      <c r="C34" s="5" t="inlineStr">
        <is>
          <t>1'-11½" × 2'-1½" × 2'-11½"</t>
        </is>
      </c>
      <c r="D34" s="5" t="inlineStr">
        <is>
          <t>600 × 650 × 900</t>
        </is>
      </c>
      <c r="E34" s="5" t="inlineStr">
        <is>
          <t>With drainboard and its own booster heater</t>
        </is>
      </c>
      <c r="F34" s="5" t="inlineStr">
        <is>
          <t>nos</t>
        </is>
      </c>
      <c r="G34" s="6" t="n">
        <v>1</v>
      </c>
      <c r="H34" s="6" t="n"/>
      <c r="I34" s="5" t="n"/>
      <c r="J34" s="7" t="n"/>
      <c r="K34" s="7" t="n"/>
      <c r="L34" s="8">
        <f>IF(J34&lt;&gt;"",G34*J34,IF(AND(K34&lt;&gt;"",H34&lt;&gt;""),H34*K34,""))</f>
        <v/>
      </c>
      <c r="M34" s="9" t="n"/>
      <c r="N34" s="5" t="inlineStr">
        <is>
          <t>B.08</t>
        </is>
      </c>
    </row>
    <row r="35">
      <c r="A35" s="5" t="inlineStr">
        <is>
          <t>26</t>
        </is>
      </c>
      <c r="B35" s="5" t="inlineStr">
        <is>
          <t>Rice cooker</t>
        </is>
      </c>
      <c r="C35" s="5" t="inlineStr">
        <is>
          <t>Ø 10"</t>
        </is>
      </c>
      <c r="D35" s="5" t="inlineStr">
        <is>
          <t>Ø 260</t>
        </is>
      </c>
      <c r="E35" s="5" t="inlineStr">
        <is>
          <t>5 L; one for jasmine, one for sticky rice</t>
        </is>
      </c>
      <c r="F35" s="5" t="inlineStr">
        <is>
          <t>nos</t>
        </is>
      </c>
      <c r="G35" s="6" t="n">
        <v>2</v>
      </c>
      <c r="H35" s="6" t="n"/>
      <c r="I35" s="5" t="n"/>
      <c r="J35" s="7" t="n"/>
      <c r="K35" s="7" t="n"/>
      <c r="L35" s="8">
        <f>IF(J35&lt;&gt;"",G35*J35,IF(AND(K35&lt;&gt;"",H35&lt;&gt;""),H35*K35,""))</f>
        <v/>
      </c>
      <c r="M35" s="9" t="n"/>
      <c r="N35" s="5" t="inlineStr">
        <is>
          <t>B.09</t>
        </is>
      </c>
    </row>
    <row r="36">
      <c r="A36" s="5" t="inlineStr">
        <is>
          <t>27</t>
        </is>
      </c>
      <c r="B36" s="5" t="inlineStr">
        <is>
          <t>Mixer-grinder</t>
        </is>
      </c>
      <c r="C36" s="5" t="inlineStr"/>
      <c r="D36" s="5" t="inlineStr"/>
      <c r="E36" s="5" t="inlineStr">
        <is>
          <t>Commercial, for sauces and batter</t>
        </is>
      </c>
      <c r="F36" s="5" t="inlineStr">
        <is>
          <t>nos</t>
        </is>
      </c>
      <c r="G36" s="6" t="n">
        <v>1</v>
      </c>
      <c r="H36" s="6" t="n"/>
      <c r="I36" s="5" t="n"/>
      <c r="J36" s="7" t="n"/>
      <c r="K36" s="7" t="n"/>
      <c r="L36" s="8">
        <f>IF(J36&lt;&gt;"",G36*J36,IF(AND(K36&lt;&gt;"",H36&lt;&gt;""),H36*K36,""))</f>
        <v/>
      </c>
      <c r="M36" s="9" t="n"/>
      <c r="N36" s="5" t="inlineStr">
        <is>
          <t>B.10</t>
        </is>
      </c>
    </row>
    <row r="37">
      <c r="A37" s="5" t="inlineStr">
        <is>
          <t>28</t>
        </is>
      </c>
      <c r="B37" s="5" t="inlineStr">
        <is>
          <t>Kitchen blowtorch</t>
        </is>
      </c>
      <c r="C37" s="5" t="inlineStr"/>
      <c r="D37" s="5" t="inlineStr"/>
      <c r="E37" s="5" t="inlineStr"/>
      <c r="F37" s="5" t="inlineStr">
        <is>
          <t>nos</t>
        </is>
      </c>
      <c r="G37" s="6" t="n">
        <v>1</v>
      </c>
      <c r="H37" s="6" t="n"/>
      <c r="I37" s="5" t="n"/>
      <c r="J37" s="7" t="n"/>
      <c r="K37" s="7" t="n"/>
      <c r="L37" s="8">
        <f>IF(J37&lt;&gt;"",G37*J37,IF(AND(K37&lt;&gt;"",H37&lt;&gt;""),H37*K37,""))</f>
        <v/>
      </c>
      <c r="M37" s="9" t="n"/>
      <c r="N37" s="5" t="inlineStr">
        <is>
          <t>B.11</t>
        </is>
      </c>
    </row>
    <row r="38">
      <c r="A38" s="5" t="inlineStr">
        <is>
          <t>29</t>
        </is>
      </c>
      <c r="B38" s="5" t="inlineStr">
        <is>
          <t>Storage water heater</t>
        </is>
      </c>
      <c r="C38" s="5" t="inlineStr">
        <is>
          <t>Ø 1'-1" × 1'-7½"</t>
        </is>
      </c>
      <c r="D38" s="5" t="inlineStr">
        <is>
          <t>Ø 330 × 500</t>
        </is>
      </c>
      <c r="E38" s="5" t="inlineStr">
        <is>
          <t>35 L, 3 kW, 70 °C, high on the left wall over the dish line</t>
        </is>
      </c>
      <c r="F38" s="5" t="inlineStr">
        <is>
          <t>nos</t>
        </is>
      </c>
      <c r="G38" s="6" t="n">
        <v>1</v>
      </c>
      <c r="H38" s="6" t="n"/>
      <c r="I38" s="5" t="n"/>
      <c r="J38" s="7" t="n"/>
      <c r="K38" s="7" t="n"/>
      <c r="L38" s="8">
        <f>IF(J38&lt;&gt;"",G38*J38,IF(AND(K38&lt;&gt;"",H38&lt;&gt;""),H38*K38,""))</f>
        <v/>
      </c>
      <c r="M38" s="9" t="n"/>
      <c r="N38" s="5" t="inlineStr">
        <is>
          <t>B.12</t>
        </is>
      </c>
    </row>
    <row r="39">
      <c r="A39" s="5" t="inlineStr">
        <is>
          <t>30</t>
        </is>
      </c>
      <c r="B39" s="5" t="inlineStr">
        <is>
          <t>Water heater for a hand-wash basin</t>
        </is>
      </c>
      <c r="C39" s="5" t="inlineStr"/>
      <c r="D39" s="5" t="inlineStr"/>
      <c r="E39" s="5" t="inlineStr">
        <is>
          <t>6 L, under each basin</t>
        </is>
      </c>
      <c r="F39" s="5" t="inlineStr">
        <is>
          <t>nos</t>
        </is>
      </c>
      <c r="G39" s="6" t="n">
        <v>2</v>
      </c>
      <c r="H39" s="6" t="n"/>
      <c r="I39" s="5" t="n"/>
      <c r="J39" s="7" t="n"/>
      <c r="K39" s="7" t="n"/>
      <c r="L39" s="8">
        <f>IF(J39&lt;&gt;"",G39*J39,IF(AND(K39&lt;&gt;"",H39&lt;&gt;""),H39*K39,""))</f>
        <v/>
      </c>
      <c r="M39" s="9" t="n"/>
      <c r="N39" s="5" t="inlineStr">
        <is>
          <t>B.13</t>
        </is>
      </c>
    </row>
    <row r="40">
      <c r="A40" s="5" t="inlineStr">
        <is>
          <t>31</t>
        </is>
      </c>
      <c r="B40" s="5" t="inlineStr">
        <is>
          <t>Insect killer</t>
        </is>
      </c>
      <c r="C40" s="5" t="inlineStr">
        <is>
          <t>1'-7½" × 7"</t>
        </is>
      </c>
      <c r="D40" s="5" t="inlineStr">
        <is>
          <t>500 × 180</t>
        </is>
      </c>
      <c r="E40" s="5" t="inlineStr">
        <is>
          <t>Over the kitchen door</t>
        </is>
      </c>
      <c r="F40" s="5" t="inlineStr">
        <is>
          <t>nos</t>
        </is>
      </c>
      <c r="G40" s="6" t="n">
        <v>1</v>
      </c>
      <c r="H40" s="6" t="n"/>
      <c r="I40" s="5" t="n"/>
      <c r="J40" s="7" t="n"/>
      <c r="K40" s="7" t="n"/>
      <c r="L40" s="8">
        <f>IF(J40&lt;&gt;"",G40*J40,IF(AND(K40&lt;&gt;"",H40&lt;&gt;""),H40*K40,""))</f>
        <v/>
      </c>
      <c r="M40" s="9" t="n"/>
      <c r="N40" s="5" t="inlineStr">
        <is>
          <t>B.14</t>
        </is>
      </c>
    </row>
    <row r="41">
      <c r="A41" s="5" t="inlineStr">
        <is>
          <t>32</t>
        </is>
      </c>
      <c r="B41" s="5" t="inlineStr">
        <is>
          <t>Heat lamp over the pass</t>
        </is>
      </c>
      <c r="C41" s="5" t="inlineStr"/>
      <c r="D41" s="5" t="inlineStr"/>
      <c r="E41" s="5" t="inlineStr">
        <is>
          <t>On its own switch</t>
        </is>
      </c>
      <c r="F41" s="5" t="inlineStr">
        <is>
          <t>nos</t>
        </is>
      </c>
      <c r="G41" s="6" t="n">
        <v>2</v>
      </c>
      <c r="H41" s="6" t="n"/>
      <c r="I41" s="5" t="n"/>
      <c r="J41" s="7" t="n"/>
      <c r="K41" s="7" t="n"/>
      <c r="L41" s="8">
        <f>IF(J41&lt;&gt;"",G41*J41,IF(AND(K41&lt;&gt;"",H41&lt;&gt;""),H41*K41,""))</f>
        <v/>
      </c>
      <c r="M41" s="9" t="n"/>
      <c r="N41" s="5" t="inlineStr">
        <is>
          <t>B.15</t>
        </is>
      </c>
    </row>
    <row r="42">
      <c r="A42" s="5" t="inlineStr">
        <is>
          <t>33</t>
        </is>
      </c>
      <c r="B42" s="5" t="inlineStr">
        <is>
          <t>Goods hoist</t>
        </is>
      </c>
      <c r="C42" s="5" t="inlineStr"/>
      <c r="D42" s="5" t="inlineStr"/>
      <c r="E42" s="5" t="inlineStr">
        <is>
          <t>Electric, 200 kg, over the ceiling hatch, with limit switch</t>
        </is>
      </c>
      <c r="F42" s="5" t="inlineStr">
        <is>
          <t>nos</t>
        </is>
      </c>
      <c r="G42" s="6" t="n">
        <v>1</v>
      </c>
      <c r="H42" s="6" t="n"/>
      <c r="I42" s="5" t="n"/>
      <c r="J42" s="7" t="n"/>
      <c r="K42" s="7" t="n"/>
      <c r="L42" s="8">
        <f>IF(J42&lt;&gt;"",G42*J42,IF(AND(K42&lt;&gt;"",H42&lt;&gt;""),H42*K42,""))</f>
        <v/>
      </c>
      <c r="M42" s="9" t="n"/>
      <c r="N42" s="5" t="inlineStr">
        <is>
          <t>B.21</t>
        </is>
      </c>
    </row>
    <row r="43">
      <c r="A43" s="5" t="inlineStr">
        <is>
          <t>34</t>
        </is>
      </c>
      <c r="B43" s="5" t="inlineStr">
        <is>
          <t>Smallware</t>
        </is>
      </c>
      <c r="C43" s="5" t="inlineStr"/>
      <c r="D43" s="5" t="inlineStr"/>
      <c r="E43" s="5" t="inlineStr">
        <is>
          <t>To the chef's list: carbon-steel woks, ladle, spatula, spider, wok brush, pans, food pans, knives, boards, stone mortar</t>
        </is>
      </c>
      <c r="F43" s="5" t="inlineStr">
        <is>
          <t>lot</t>
        </is>
      </c>
      <c r="G43" s="6" t="n">
        <v>1</v>
      </c>
      <c r="H43" s="6" t="n"/>
      <c r="I43" s="5" t="n"/>
      <c r="J43" s="7" t="n"/>
      <c r="K43" s="7" t="n"/>
      <c r="L43" s="8">
        <f>IF(J43&lt;&gt;"",G43*J43,IF(AND(K43&lt;&gt;"",H43&lt;&gt;""),H43*K43,""))</f>
        <v/>
      </c>
      <c r="M43" s="9" t="n"/>
      <c r="N43" s="5" t="inlineStr">
        <is>
          <t>B.22</t>
        </is>
      </c>
    </row>
    <row r="44">
      <c r="A44" s="5" t="inlineStr">
        <is>
          <t>35</t>
        </is>
      </c>
      <c r="B44" s="5" t="inlineStr">
        <is>
          <t>Bamboo steamer stack</t>
        </is>
      </c>
      <c r="C44" s="5" t="inlineStr">
        <is>
          <t>Ø 10"</t>
        </is>
      </c>
      <c r="D44" s="5" t="inlineStr">
        <is>
          <t>Ø 260</t>
        </is>
      </c>
      <c r="E44" s="5" t="inlineStr">
        <is>
          <t>3 baskets and a lid, for the drying shelf (the steamer comes with its own baskets, B.02)</t>
        </is>
      </c>
      <c r="F44" s="5" t="inlineStr">
        <is>
          <t>nos</t>
        </is>
      </c>
      <c r="G44" s="6" t="n">
        <v>3</v>
      </c>
      <c r="H44" s="6" t="n"/>
      <c r="I44" s="5" t="n"/>
      <c r="J44" s="7" t="n"/>
      <c r="K44" s="7" t="n"/>
      <c r="L44" s="8">
        <f>IF(J44&lt;&gt;"",G44*J44,IF(AND(K44&lt;&gt;"",H44&lt;&gt;""),H44*K44,""))</f>
        <v/>
      </c>
      <c r="M44" s="9" t="n"/>
      <c r="N44" s="5" t="inlineStr">
        <is>
          <t>B.23</t>
        </is>
      </c>
    </row>
    <row r="45">
      <c r="A45" s="10" t="n"/>
      <c r="B45" s="10" t="inlineStr">
        <is>
          <t>Subtotal, section 2</t>
        </is>
      </c>
      <c r="C45" s="10" t="n"/>
      <c r="D45" s="10" t="n"/>
      <c r="E45" s="10" t="n"/>
      <c r="F45" s="10" t="n"/>
      <c r="G45" s="10" t="n"/>
      <c r="H45" s="10" t="n"/>
      <c r="I45" s="10" t="n"/>
      <c r="J45" s="10" t="n"/>
      <c r="K45" s="10" t="n"/>
      <c r="L45" s="11">
        <f>SUM(L27:L44)</f>
        <v/>
      </c>
      <c r="M45" s="10" t="n"/>
      <c r="N45" s="10" t="n"/>
    </row>
    <row r="47" ht="62" customHeight="1">
      <c r="A47" s="4" t="inlineStr"/>
      <c r="B47" s="4" t="inlineStr">
        <is>
          <t>Hood, exhaust and ventilation</t>
        </is>
      </c>
      <c r="C47" s="4" t="n"/>
      <c r="D47" s="4" t="n"/>
      <c r="E47" s="4" t="inlineStr">
        <is>
          <t>Exhaust about 2,400 to 3,000 CFM (4,000 to 5,000 m³/h) for the whole hood; make-up air about 80% of it. No roof stack: apartment above and parking behind, so the duct goes out through the back wall, along it and up the right side, with an ESP before the fan. Vendor states the static pressure the fan is selected for.</t>
        </is>
      </c>
      <c r="F47" s="4" t="n"/>
      <c r="G47" s="4" t="n"/>
      <c r="H47" s="4" t="n"/>
      <c r="I47" s="4" t="n"/>
      <c r="J47" s="4" t="n"/>
      <c r="K47" s="4" t="n"/>
      <c r="L47" s="4" t="n"/>
      <c r="M47" s="4" t="n"/>
      <c r="N47" s="4" t="n"/>
    </row>
    <row r="48">
      <c r="A48" s="5" t="inlineStr">
        <is>
          <t>36</t>
        </is>
      </c>
      <c r="B48" s="5" t="inlineStr">
        <is>
          <t>Canopy hood, wall type, with baffle filters</t>
        </is>
      </c>
      <c r="C48" s="5" t="inlineStr">
        <is>
          <t>11'-0" × 3'-1½" × 1'-9½"</t>
        </is>
      </c>
      <c r="D48" s="5" t="inlineStr">
        <is>
          <t>3,350 × 950 × 550</t>
        </is>
      </c>
      <c r="E48" s="5" t="inlineStr">
        <is>
          <t>SS 304, 20 SWG (0.9 mm); SS baffle filters, grease cup, LED lights; bottom edge 6'-9" (2.05 m) above the floor; overhang 8" at the open end, 6" over the wok range. Priced per running foot or per hood: state which</t>
        </is>
      </c>
      <c r="F48" s="5" t="inlineStr">
        <is>
          <t>nos</t>
        </is>
      </c>
      <c r="G48" s="6" t="n">
        <v>1</v>
      </c>
      <c r="H48" s="6" t="n">
        <v>11</v>
      </c>
      <c r="I48" s="5" t="inlineStr">
        <is>
          <t>run ft</t>
        </is>
      </c>
      <c r="J48" s="7" t="n"/>
      <c r="K48" s="7" t="n"/>
      <c r="L48" s="8">
        <f>IF(J48&lt;&gt;"",G48*J48,IF(AND(K48&lt;&gt;"",H48&lt;&gt;""),H48*K48,""))</f>
        <v/>
      </c>
      <c r="M48" s="9" t="n"/>
      <c r="N48" s="5" t="inlineStr">
        <is>
          <t>A.16</t>
        </is>
      </c>
    </row>
    <row r="49">
      <c r="A49" s="5" t="inlineStr">
        <is>
          <t>37</t>
        </is>
      </c>
      <c r="B49" s="5" t="inlineStr">
        <is>
          <t>Exhaust ducting, rectangular</t>
        </is>
      </c>
      <c r="C49" s="5" t="inlineStr">
        <is>
          <t>16" × 16" section</t>
        </is>
      </c>
      <c r="D49" s="5" t="inlineStr">
        <is>
          <t>400 × 400 section</t>
        </is>
      </c>
      <c r="E49" s="5" t="inlineStr">
        <is>
          <t>SS 304, 20 SWG (0.9 mm), at 7'-8" to 9'-0" above the floor: hood collar, wall opening, along the back wall, round the corner, to the ESP, fan and discharge; brackets, bends, access doors. Sheet area 86 sq ft (about 95 sq ft with bends)</t>
        </is>
      </c>
      <c r="F49" s="5" t="inlineStr">
        <is>
          <t>run ft</t>
        </is>
      </c>
      <c r="G49" s="6" t="n">
        <v>16.4</v>
      </c>
      <c r="H49" s="6" t="n">
        <v>95</v>
      </c>
      <c r="I49" s="5" t="inlineStr">
        <is>
          <t>sq ft</t>
        </is>
      </c>
      <c r="J49" s="7" t="n"/>
      <c r="K49" s="7" t="n"/>
      <c r="L49" s="8">
        <f>IF(J49&lt;&gt;"",G49*J49,IF(AND(K49&lt;&gt;"",H49&lt;&gt;""),H49*K49,""))</f>
        <v/>
      </c>
      <c r="M49" s="9" t="n"/>
      <c r="N49" s="5" t="inlineStr">
        <is>
          <t>A.17</t>
        </is>
      </c>
    </row>
    <row r="50">
      <c r="A50" s="5" t="inlineStr">
        <is>
          <t>38</t>
        </is>
      </c>
      <c r="B50" s="5" t="inlineStr">
        <is>
          <t>Discharge elbow</t>
        </is>
      </c>
      <c r="C50" s="5" t="inlineStr">
        <is>
          <t>16" × 16" section</t>
        </is>
      </c>
      <c r="D50" s="5" t="inlineStr">
        <is>
          <t>400 × 400 section</t>
        </is>
      </c>
      <c r="E50" s="5" t="inlineStr">
        <is>
          <t>About 8'-6" above the floor, pointing away from the building; bird mesh and rain cowl</t>
        </is>
      </c>
      <c r="F50" s="5" t="inlineStr">
        <is>
          <t>nos</t>
        </is>
      </c>
      <c r="G50" s="6" t="n">
        <v>1</v>
      </c>
      <c r="H50" s="6" t="n"/>
      <c r="I50" s="5" t="n"/>
      <c r="J50" s="7" t="n"/>
      <c r="K50" s="7" t="n"/>
      <c r="L50" s="8">
        <f>IF(J50&lt;&gt;"",G50*J50,IF(AND(K50&lt;&gt;"",H50&lt;&gt;""),H50*K50,""))</f>
        <v/>
      </c>
      <c r="M50" s="9" t="n"/>
      <c r="N50" s="5" t="inlineStr">
        <is>
          <t>A.18</t>
        </is>
      </c>
    </row>
    <row r="51">
      <c r="A51" s="5" t="inlineStr">
        <is>
          <t>39</t>
        </is>
      </c>
      <c r="B51" s="5" t="inlineStr">
        <is>
          <t>ESP with carbon odour filter</t>
        </is>
      </c>
      <c r="C51" s="5" t="inlineStr">
        <is>
          <t>1'-7½" × 3'-3½" × 2'-11½"</t>
        </is>
      </c>
      <c r="D51" s="5" t="inlineStr">
        <is>
          <t>500 × 1,000 × 900</t>
        </is>
      </c>
      <c r="E51" s="5" t="inlineStr">
        <is>
          <t>Outside, 6'-9" to 9'-8" above the floor; rated for 2,400 to 3,000 CFM; state kW and filter life</t>
        </is>
      </c>
      <c r="F51" s="5" t="inlineStr">
        <is>
          <t>nos</t>
        </is>
      </c>
      <c r="G51" s="6" t="n">
        <v>1</v>
      </c>
      <c r="H51" s="6" t="n"/>
      <c r="I51" s="5" t="n"/>
      <c r="J51" s="7" t="n"/>
      <c r="K51" s="7" t="n"/>
      <c r="L51" s="8">
        <f>IF(J51&lt;&gt;"",G51*J51,IF(AND(K51&lt;&gt;"",H51&lt;&gt;""),H51*K51,""))</f>
        <v/>
      </c>
      <c r="M51" s="9" t="n"/>
      <c r="N51" s="5" t="inlineStr">
        <is>
          <t>B.16</t>
        </is>
      </c>
    </row>
    <row r="52">
      <c r="A52" s="5" t="inlineStr">
        <is>
          <t>40</t>
        </is>
      </c>
      <c r="B52" s="5" t="inlineStr">
        <is>
          <t>Inline exhaust fan</t>
        </is>
      </c>
      <c r="C52" s="5" t="inlineStr">
        <is>
          <t>Ø 17½"</t>
        </is>
      </c>
      <c r="D52" s="5" t="inlineStr">
        <is>
          <t>Ø 440</t>
        </is>
      </c>
      <c r="E52" s="5" t="inlineStr">
        <is>
          <t>2,400 to 3,000 CFM at the static pressure you state (duct + ESP + discharge); belt or direct drive, motor HP stated; anti-vibration mounts, speed control</t>
        </is>
      </c>
      <c r="F52" s="5" t="inlineStr">
        <is>
          <t>nos</t>
        </is>
      </c>
      <c r="G52" s="6" t="n">
        <v>1</v>
      </c>
      <c r="H52" s="6" t="n"/>
      <c r="I52" s="5" t="n"/>
      <c r="J52" s="7" t="n"/>
      <c r="K52" s="7" t="n"/>
      <c r="L52" s="8">
        <f>IF(J52&lt;&gt;"",G52*J52,IF(AND(K52&lt;&gt;"",H52&lt;&gt;""),H52*K52,""))</f>
        <v/>
      </c>
      <c r="M52" s="9" t="n"/>
      <c r="N52" s="5" t="inlineStr">
        <is>
          <t>B.17</t>
        </is>
      </c>
    </row>
    <row r="53">
      <c r="A53" s="5" t="inlineStr">
        <is>
          <t>41</t>
        </is>
      </c>
      <c r="B53" s="5" t="inlineStr">
        <is>
          <t>Fresh-air intake fan</t>
        </is>
      </c>
      <c r="C53" s="5" t="inlineStr">
        <is>
          <t>1'-7½" × 1'-7"</t>
        </is>
      </c>
      <c r="D53" s="5" t="inlineStr">
        <is>
          <t>500 × 480</t>
        </is>
      </c>
      <c r="E53" s="5" t="inlineStr">
        <is>
          <t>High on the back wall (about 10'-10"); about 1,900 to 2,400 CFM; interlocked with the exhaust</t>
        </is>
      </c>
      <c r="F53" s="5" t="inlineStr">
        <is>
          <t>nos</t>
        </is>
      </c>
      <c r="G53" s="6" t="n">
        <v>1</v>
      </c>
      <c r="H53" s="6" t="n"/>
      <c r="I53" s="5" t="n"/>
      <c r="J53" s="7" t="n"/>
      <c r="K53" s="7" t="n"/>
      <c r="L53" s="8">
        <f>IF(J53&lt;&gt;"",G53*J53,IF(AND(K53&lt;&gt;"",H53&lt;&gt;""),H53*K53,""))</f>
        <v/>
      </c>
      <c r="M53" s="9" t="n"/>
      <c r="N53" s="5" t="inlineStr">
        <is>
          <t>B.18</t>
        </is>
      </c>
    </row>
    <row r="54">
      <c r="A54" s="5" t="inlineStr">
        <is>
          <t>42</t>
        </is>
      </c>
      <c r="B54" s="5" t="inlineStr">
        <is>
          <t>Make-up air diffuser, perforated, low velocity</t>
        </is>
      </c>
      <c r="C54" s="5" t="inlineStr">
        <is>
          <t>1'-11½" × 1'-7½"</t>
        </is>
      </c>
      <c r="D54" s="5" t="inlineStr">
        <is>
          <t>600 × 500</t>
        </is>
      </c>
      <c r="E54" s="5" t="inlineStr">
        <is>
          <t>In the kitchen ceiling, about 950 to 1,200 CFM each</t>
        </is>
      </c>
      <c r="F54" s="5" t="inlineStr">
        <is>
          <t>nos</t>
        </is>
      </c>
      <c r="G54" s="6" t="n">
        <v>2</v>
      </c>
      <c r="H54" s="6" t="n"/>
      <c r="I54" s="5" t="n"/>
      <c r="J54" s="7" t="n"/>
      <c r="K54" s="7" t="n"/>
      <c r="L54" s="8">
        <f>IF(J54&lt;&gt;"",G54*J54,IF(AND(K54&lt;&gt;"",H54&lt;&gt;""),H54*K54,""))</f>
        <v/>
      </c>
      <c r="M54" s="9" t="n"/>
      <c r="N54" s="5" t="inlineStr">
        <is>
          <t>B.19</t>
        </is>
      </c>
    </row>
    <row r="55">
      <c r="A55" s="5" t="inlineStr">
        <is>
          <t>43</t>
        </is>
      </c>
      <c r="B55" s="5" t="inlineStr">
        <is>
          <t>Make-up air cooling coil with condenser</t>
        </is>
      </c>
      <c r="C55" s="5" t="inlineStr">
        <is>
          <t>condenser 2'-7½" × 1'-9½" × 1'-0"</t>
        </is>
      </c>
      <c r="D55" s="5" t="inlineStr">
        <is>
          <t>condenser 800 × 550 × 300</t>
        </is>
      </c>
      <c r="E55" s="5" t="inlineStr">
        <is>
          <t>1.5 TR; condenser on the right side wall at about 9'-10" above the floor</t>
        </is>
      </c>
      <c r="F55" s="5" t="inlineStr">
        <is>
          <t>set</t>
        </is>
      </c>
      <c r="G55" s="6" t="n">
        <v>1</v>
      </c>
      <c r="H55" s="6" t="n"/>
      <c r="I55" s="5" t="n"/>
      <c r="J55" s="7" t="n"/>
      <c r="K55" s="7" t="n"/>
      <c r="L55" s="8">
        <f>IF(J55&lt;&gt;"",G55*J55,IF(AND(K55&lt;&gt;"",H55&lt;&gt;""),H55*K55,""))</f>
        <v/>
      </c>
      <c r="M55" s="9" t="n"/>
      <c r="N55" s="5" t="inlineStr">
        <is>
          <t>B.20</t>
        </is>
      </c>
    </row>
    <row r="56">
      <c r="A56" s="5" t="inlineStr">
        <is>
          <t>44</t>
        </is>
      </c>
      <c r="B56" s="5" t="inlineStr">
        <is>
          <t>Exhaust fan and ESP control panel</t>
        </is>
      </c>
      <c r="C56" s="5" t="inlineStr"/>
      <c r="D56" s="5" t="inlineStr"/>
      <c r="E56" s="5" t="inlineStr">
        <is>
          <t>With hood-light switch and interlocks (fan, make-up air, gas solenoid, suppression)</t>
        </is>
      </c>
      <c r="F56" s="5" t="inlineStr">
        <is>
          <t>nos</t>
        </is>
      </c>
      <c r="G56" s="6" t="n">
        <v>1</v>
      </c>
      <c r="H56" s="6" t="n"/>
      <c r="I56" s="5" t="n"/>
      <c r="J56" s="7" t="n"/>
      <c r="K56" s="7" t="n"/>
      <c r="L56" s="8">
        <f>IF(J56&lt;&gt;"",G56*J56,IF(AND(K56&lt;&gt;"",H56&lt;&gt;""),H56*K56,""))</f>
        <v/>
      </c>
      <c r="M56" s="9" t="n"/>
      <c r="N56" s="5" t="inlineStr">
        <is>
          <t>E.03</t>
        </is>
      </c>
    </row>
    <row r="57">
      <c r="A57" s="10" t="n"/>
      <c r="B57" s="10" t="inlineStr">
        <is>
          <t>Subtotal, section 3</t>
        </is>
      </c>
      <c r="C57" s="10" t="n"/>
      <c r="D57" s="10" t="n"/>
      <c r="E57" s="10" t="n"/>
      <c r="F57" s="10" t="n"/>
      <c r="G57" s="10" t="n"/>
      <c r="H57" s="10" t="n"/>
      <c r="I57" s="10" t="n"/>
      <c r="J57" s="10" t="n"/>
      <c r="K57" s="10" t="n"/>
      <c r="L57" s="11">
        <f>SUM(L48:L56)</f>
        <v/>
      </c>
      <c r="M57" s="10" t="n"/>
      <c r="N57" s="10" t="n"/>
    </row>
    <row r="59">
      <c r="B59" s="12" t="inlineStr">
        <is>
          <t>Total of all sections (ex-GST)</t>
        </is>
      </c>
      <c r="L59" s="13">
        <f>L24+L45+L57</f>
        <v/>
      </c>
    </row>
    <row r="60">
      <c r="B60" s="12" t="inlineStr">
        <is>
          <t>Freight and unloading to Betalbatim</t>
        </is>
      </c>
      <c r="L60" s="14" t="n"/>
    </row>
    <row r="61">
      <c r="B61" s="12" t="inlineStr">
        <is>
          <t>Installation and connections not included above</t>
        </is>
      </c>
      <c r="L61" s="14" t="n"/>
    </row>
    <row r="62">
      <c r="B62" s="12" t="inlineStr">
        <is>
          <t>GST rate (%)</t>
        </is>
      </c>
      <c r="L62" s="14" t="n">
        <v>18</v>
      </c>
    </row>
    <row r="63">
      <c r="B63" s="12" t="inlineStr">
        <is>
          <t>GST</t>
        </is>
      </c>
      <c r="L63" s="13">
        <f>ROUND((L59+L60+L61)*L62/100,2)</f>
        <v/>
      </c>
    </row>
    <row r="64">
      <c r="B64" s="15" t="inlineStr">
        <is>
          <t>Grand total including GST</t>
        </is>
      </c>
      <c r="L64" s="16">
        <f>L59+L60+L61+L63</f>
        <v/>
      </c>
    </row>
  </sheetData>
  <mergeCells count="2">
    <mergeCell ref="A3:N3"/>
    <mergeCell ref="A2:N2"/>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17" t="inlineStr">
        <is>
          <t>Units used in this BOQ</t>
        </is>
      </c>
    </row>
    <row r="2">
      <c r="A2" s="2" t="inlineStr">
        <is>
          <t>Length: feet and inches (nearest ½ inch) with the millimetres alongside. Sheet thickness: SWG with the millimetres. Hood and benches can be priced per running foot, duct per square foot, or per unit.</t>
        </is>
      </c>
    </row>
    <row r="3">
      <c r="A3" s="2" t="inlineStr">
        <is>
          <t>Airflow: CFM (1 m³/h = 0.589 CFM). Cooling: TR. Cold units: litres. Cylinders: kg. Burners: kW (or kcal/hr, say which).</t>
        </is>
      </c>
    </row>
    <row r="4">
      <c r="A4" s="2" t="inlineStr">
        <is>
          <t>These are the conventions commonly used in Indian commercial-kitchen quotes; if your vendor works in a different unit, use the millimetre column.</t>
        </is>
      </c>
    </row>
    <row r="5">
      <c r="A5" s="2" t="inlineStr">
        <is>
          <t>Every quote must state: steel grade and SWG, price ex-GST with the GST rate, delivery, installation, lead time, payment schedule, warranty and who services it in Goa, validity.</t>
        </is>
      </c>
    </row>
    <row r="6">
      <c r="A6" s="2" t="inlineStr">
        <is>
          <t>Concept drawings for briefing suppliers, not construction drawings. Duct length is an estimate: the vendor measures on site.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2026-10-17T08:07:55Z</dcterms:created>
  <dcterms:modified xsi:type="dcterms:W3CDTF">2026-10-17T08:07:55Z</dcterms:modified>
</cp:coreProperties>
</file>