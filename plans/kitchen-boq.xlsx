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" sheetId="1" state="visible" r:id="rId1"/>
    <sheet name="Notes" sheetId="2" state="visible" r:id="rId2"/>
  </sheets>
  <definedNames>
    <definedName name="_xlnm.Print_Titles" localSheetId="0">'BOQ'!$5:$5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#"/>
  </numFmts>
  <fonts count="5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  <font>
      <b val="1"/>
    </font>
    <font>
      <b val="1"/>
      <sz val="13"/>
    </font>
  </fonts>
  <fills count="5">
    <fill>
      <patternFill/>
    </fill>
    <fill>
      <patternFill patternType="gray125"/>
    </fill>
    <fill>
      <patternFill patternType="solid">
        <fgColor rgb="002A2420"/>
      </patternFill>
    </fill>
    <fill>
      <patternFill patternType="solid">
        <fgColor rgb="00EFE6D3"/>
      </patternFill>
    </fill>
    <fill>
      <patternFill patternType="solid">
        <fgColor rgb="00FFF9E0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  <xf numFmtId="164" fontId="0" fillId="0" borderId="1" applyAlignment="1" pivotButton="0" quotePrefix="0" xfId="0">
      <alignment vertical="top" wrapText="1"/>
    </xf>
    <xf numFmtId="4" fontId="0" fillId="4" borderId="1" applyAlignment="1" pivotButton="0" quotePrefix="0" xfId="0">
      <alignment vertical="top" wrapText="1"/>
    </xf>
    <xf numFmtId="4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0" fontId="3" fillId="0" borderId="1" pivotButton="0" quotePrefix="0" xfId="0"/>
    <xf numFmtId="4" fontId="3" fillId="0" borderId="1" pivotButton="0" quotePrefix="0" xfId="0"/>
    <xf numFmtId="0" fontId="3" fillId="0" borderId="0" pivotButton="0" quotePrefix="0" xfId="0"/>
    <xf numFmtId="4" fontId="3" fillId="0" borderId="0" pivotButton="0" quotePrefix="0" xfId="0"/>
    <xf numFmtId="4" fontId="3" fillId="4" borderId="0" pivotButton="0" quotePrefix="0" xfId="0"/>
    <xf numFmtId="0" fontId="3" fillId="3" borderId="0" pivotButton="0" quotePrefix="0" xfId="0"/>
    <xf numFmtId="4" fontId="3" fillId="3" borderId="0" pivotButton="0" quotePrefix="0" xfId="0"/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125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36" customWidth="1" min="2" max="2"/>
    <col width="22" customWidth="1" min="3" max="3"/>
    <col width="54" customWidth="1" min="4" max="4"/>
    <col width="6" customWidth="1" min="5" max="5"/>
    <col width="7" customWidth="1" min="6" max="6"/>
    <col width="12" customWidth="1" min="7" max="7"/>
    <col width="14" customWidth="1" min="8" max="8"/>
    <col width="28" customWidth="1" min="9" max="9"/>
    <col width="16" customWidth="1" min="10" max="10"/>
  </cols>
  <sheetData>
    <row r="1">
      <c r="A1" s="1" t="inlineStr">
        <is>
          <t>Bill of quantities · kitchen · Cabin East, Betalbatim</t>
        </is>
      </c>
    </row>
    <row r="2" ht="30" customHeight="1">
      <c r="A2" s="2" t="inlineStr">
        <is>
          <t>Shop 4, Tulip Residency, Gandaulim, Salcete, South Goa. Kitchen 4.9 × 2.4 m, one chef and one helper. Quantities and sizes come from the model and the two A3 sheets (kitchen.html); measure on site before ordering.</t>
        </is>
      </c>
    </row>
    <row r="3" ht="30" customHeight="1">
      <c r="A3" s="2" t="inlineStr">
        <is>
          <t>Fill the yellow cells (rate, make/model, remarks). Amounts and totals calculate. Rates ex-GST, itemised; freight, installation and the GST rate go in the lines at the bottom. Sizes are width × depth × height in mm, the space available.</t>
        </is>
      </c>
    </row>
    <row r="5">
      <c r="A5" s="3" t="inlineStr">
        <is>
          <t>Item</t>
        </is>
      </c>
      <c r="B5" s="3" t="inlineStr">
        <is>
          <t>Item / type</t>
        </is>
      </c>
      <c r="C5" s="3" t="inlineStr">
        <is>
          <t>Size W × D × H (mm)</t>
        </is>
      </c>
      <c r="D5" s="3" t="inlineStr">
        <is>
          <t>Capacity, rating, specification</t>
        </is>
      </c>
      <c r="E5" s="3" t="inlineStr">
        <is>
          <t>Unit</t>
        </is>
      </c>
      <c r="F5" s="3" t="inlineStr">
        <is>
          <t>Qty</t>
        </is>
      </c>
      <c r="G5" s="3" t="inlineStr">
        <is>
          <t>Rate (₹)</t>
        </is>
      </c>
      <c r="H5" s="3" t="inlineStr">
        <is>
          <t>Amount (₹)</t>
        </is>
      </c>
      <c r="I5" s="3" t="inlineStr">
        <is>
          <t>Make / model / remarks</t>
        </is>
      </c>
      <c r="J5" s="3" t="inlineStr">
        <is>
          <t>Drawing</t>
        </is>
      </c>
    </row>
    <row r="6">
      <c r="A6" s="4" t="inlineStr">
        <is>
          <t>A</t>
        </is>
      </c>
      <c r="B6" s="4" t="inlineStr">
        <is>
          <t>Stainless steel fabrication (SS 304 throughout)</t>
        </is>
      </c>
      <c r="C6" s="4" t="n"/>
      <c r="D6" s="4" t="inlineStr">
        <is>
          <t>Worktops 1.2 mm or thicker, bodies 1.0 mm, legs 38 mm tube, welded and polished joints, adjustable feet. Supplier confirms or corrects the gauges.</t>
        </is>
      </c>
      <c r="E6" s="4" t="n"/>
      <c r="F6" s="4" t="n"/>
      <c r="G6" s="4" t="n"/>
      <c r="H6" s="4" t="n"/>
      <c r="I6" s="4" t="n"/>
      <c r="J6" s="4" t="n"/>
    </row>
    <row r="7">
      <c r="A7" s="5" t="inlineStr">
        <is>
          <t>A.01</t>
        </is>
      </c>
      <c r="B7" s="5" t="inlineStr">
        <is>
          <t>Non-veg prep bench</t>
        </is>
      </c>
      <c r="C7" s="5" t="inlineStr">
        <is>
          <t>800 × 650 × 900</t>
        </is>
      </c>
      <c r="D7" s="5" t="inlineStr">
        <is>
          <t>Open undershelf for the board rack, 100 mm back upstand</t>
        </is>
      </c>
      <c r="E7" s="5" t="inlineStr">
        <is>
          <t>nos</t>
        </is>
      </c>
      <c r="F7" s="6" t="n">
        <v>1</v>
      </c>
      <c r="G7" s="7" t="n"/>
      <c r="H7" s="8">
        <f>IF(G7="","",F7*G7)</f>
        <v/>
      </c>
      <c r="I7" s="9" t="n"/>
      <c r="J7" s="5" t="inlineStr">
        <is>
          <t>Sheet 1</t>
        </is>
      </c>
    </row>
    <row r="8">
      <c r="A8" s="5" t="inlineStr">
        <is>
          <t>A.02</t>
        </is>
      </c>
      <c r="B8" s="5" t="inlineStr">
        <is>
          <t>Dumpling and veg prep bench</t>
        </is>
      </c>
      <c r="C8" s="5" t="inlineStr">
        <is>
          <t>800 × 650 × 900</t>
        </is>
      </c>
      <c r="D8" s="5" t="inlineStr">
        <is>
          <t>Top over the under-counter freezer (B.07); two wall shelves over</t>
        </is>
      </c>
      <c r="E8" s="5" t="inlineStr">
        <is>
          <t>nos</t>
        </is>
      </c>
      <c r="F8" s="6" t="n">
        <v>1</v>
      </c>
      <c r="G8" s="7" t="n"/>
      <c r="H8" s="8">
        <f>IF(G8="","",F8*G8)</f>
        <v/>
      </c>
      <c r="I8" s="9" t="n"/>
      <c r="J8" s="5" t="inlineStr">
        <is>
          <t>Sheet 1</t>
        </is>
      </c>
    </row>
    <row r="9">
      <c r="A9" s="5" t="inlineStr">
        <is>
          <t>A.03</t>
        </is>
      </c>
      <c r="B9" s="5" t="inlineStr">
        <is>
          <t>Pass counter</t>
        </is>
      </c>
      <c r="C9" s="5" t="inlineStr">
        <is>
          <t>650 × 650 × 900</t>
        </is>
      </c>
      <c r="D9" s="5" t="inlineStr">
        <is>
          <t>Heat-lamp bracket; hatch ledge 700 mm through the wall</t>
        </is>
      </c>
      <c r="E9" s="5" t="inlineStr">
        <is>
          <t>nos</t>
        </is>
      </c>
      <c r="F9" s="6" t="n">
        <v>1</v>
      </c>
      <c r="G9" s="7" t="n"/>
      <c r="H9" s="8">
        <f>IF(G9="","",F9*G9)</f>
        <v/>
      </c>
      <c r="I9" s="9" t="n"/>
      <c r="J9" s="5" t="inlineStr">
        <is>
          <t>Sheet 1</t>
        </is>
      </c>
    </row>
    <row r="10">
      <c r="A10" s="5" t="inlineStr">
        <is>
          <t>A.04</t>
        </is>
      </c>
      <c r="B10" s="5" t="inlineStr">
        <is>
          <t>Dish sink, 2 bowls</t>
        </is>
      </c>
      <c r="C10" s="5" t="inlineStr">
        <is>
          <t>800 × 650 × 900</t>
        </is>
      </c>
      <c r="D10" s="5" t="inlineStr">
        <is>
          <t>Pre-rinse spray bracket, undershelf, legs</t>
        </is>
      </c>
      <c r="E10" s="5" t="inlineStr">
        <is>
          <t>nos</t>
        </is>
      </c>
      <c r="F10" s="6" t="n">
        <v>1</v>
      </c>
      <c r="G10" s="7" t="n"/>
      <c r="H10" s="8">
        <f>IF(G10="","",F10*G10)</f>
        <v/>
      </c>
      <c r="I10" s="9" t="n"/>
      <c r="J10" s="5" t="inlineStr">
        <is>
          <t>Sheet 1</t>
        </is>
      </c>
    </row>
    <row r="11">
      <c r="A11" s="5" t="inlineStr">
        <is>
          <t>A.05</t>
        </is>
      </c>
      <c r="B11" s="5" t="inlineStr">
        <is>
          <t>Wall shelf over the dish line</t>
        </is>
      </c>
      <c r="C11" s="5" t="inlineStr">
        <is>
          <t>1,400 × 350</t>
        </is>
      </c>
      <c r="D11" s="5" t="inlineStr">
        <is>
          <t>One plain, one slatted for bamboo steamer baskets</t>
        </is>
      </c>
      <c r="E11" s="5" t="inlineStr">
        <is>
          <t>nos</t>
        </is>
      </c>
      <c r="F11" s="6" t="n">
        <v>2</v>
      </c>
      <c r="G11" s="7" t="n"/>
      <c r="H11" s="8">
        <f>IF(G11="","",F11*G11)</f>
        <v/>
      </c>
      <c r="I11" s="9" t="n"/>
      <c r="J11" s="5" t="inlineStr">
        <is>
          <t>Sheet 1</t>
        </is>
      </c>
    </row>
    <row r="12">
      <c r="A12" s="5" t="inlineStr">
        <is>
          <t>A.06</t>
        </is>
      </c>
      <c r="B12" s="5" t="inlineStr">
        <is>
          <t>Veg and herb wash sink</t>
        </is>
      </c>
      <c r="C12" s="5" t="inlineStr">
        <is>
          <t>450 × 500 × 900</t>
        </is>
      </c>
      <c r="D12" s="5" t="inlineStr">
        <is>
          <t>Single bowl, legs, undershelf</t>
        </is>
      </c>
      <c r="E12" s="5" t="inlineStr">
        <is>
          <t>nos</t>
        </is>
      </c>
      <c r="F12" s="6" t="n">
        <v>1</v>
      </c>
      <c r="G12" s="7" t="n"/>
      <c r="H12" s="8">
        <f>IF(G12="","",F12*G12)</f>
        <v/>
      </c>
      <c r="I12" s="9" t="n"/>
      <c r="J12" s="5" t="inlineStr">
        <is>
          <t>Sheet 1</t>
        </is>
      </c>
    </row>
    <row r="13">
      <c r="A13" s="5" t="inlineStr">
        <is>
          <t>A.07</t>
        </is>
      </c>
      <c r="B13" s="5" t="inlineStr">
        <is>
          <t>Sauce and oil wall shelf</t>
        </is>
      </c>
      <c r="C13" s="5" t="inlineStr">
        <is>
          <t>900 × 300</t>
        </is>
      </c>
      <c r="D13" s="5" t="inlineStr">
        <is>
          <t>Back-up stock, fixed at 1.45 m</t>
        </is>
      </c>
      <c r="E13" s="5" t="inlineStr">
        <is>
          <t>nos</t>
        </is>
      </c>
      <c r="F13" s="6" t="n">
        <v>1</v>
      </c>
      <c r="G13" s="7" t="n"/>
      <c r="H13" s="8">
        <f>IF(G13="","",F13*G13)</f>
        <v/>
      </c>
      <c r="I13" s="9" t="n"/>
      <c r="J13" s="5" t="inlineStr">
        <is>
          <t>Sheet 1</t>
        </is>
      </c>
    </row>
    <row r="14">
      <c r="A14" s="5" t="inlineStr">
        <is>
          <t>A.08</t>
        </is>
      </c>
      <c r="B14" s="5" t="inlineStr">
        <is>
          <t>Wok seasoning rail</t>
        </is>
      </c>
      <c r="C14" s="5" t="inlineStr">
        <is>
          <t>440 × 220</t>
        </is>
      </c>
      <c r="D14" s="5" t="inlineStr">
        <is>
          <t>At 1.0 m; 8 lidded pots and a rack for 8 squeeze bottles</t>
        </is>
      </c>
      <c r="E14" s="5" t="inlineStr">
        <is>
          <t>set</t>
        </is>
      </c>
      <c r="F14" s="6" t="n">
        <v>1</v>
      </c>
      <c r="G14" s="7" t="n"/>
      <c r="H14" s="8">
        <f>IF(G14="","",F14*G14)</f>
        <v/>
      </c>
      <c r="I14" s="9" t="n"/>
      <c r="J14" s="5" t="inlineStr">
        <is>
          <t>Sheet 1</t>
        </is>
      </c>
    </row>
    <row r="15">
      <c r="A15" s="5" t="inlineStr">
        <is>
          <t>A.09</t>
        </is>
      </c>
      <c r="B15" s="5" t="inlineStr">
        <is>
          <t>Wok tool rail</t>
        </is>
      </c>
      <c r="C15" s="5" t="inlineStr">
        <is>
          <t>470 long</t>
        </is>
      </c>
      <c r="D15" s="5" t="inlineStr">
        <is>
          <t>At 1.4 m with 4 hooks</t>
        </is>
      </c>
      <c r="E15" s="5" t="inlineStr">
        <is>
          <t>nos</t>
        </is>
      </c>
      <c r="F15" s="6" t="n">
        <v>1</v>
      </c>
      <c r="G15" s="7" t="n"/>
      <c r="H15" s="8">
        <f>IF(G15="","",F15*G15)</f>
        <v/>
      </c>
      <c r="I15" s="9" t="n"/>
      <c r="J15" s="5" t="inlineStr">
        <is>
          <t>Sheet 1</t>
        </is>
      </c>
    </row>
    <row r="16">
      <c r="A16" s="5" t="inlineStr">
        <is>
          <t>A.10</t>
        </is>
      </c>
      <c r="B16" s="5" t="inlineStr">
        <is>
          <t>Chilled mise-en-place rail</t>
        </is>
      </c>
      <c r="C16" s="5" t="inlineStr">
        <is>
          <t>760 × 260 × 220</t>
        </is>
      </c>
      <c r="D16" s="5" t="inlineStr">
        <is>
          <t>Counter-top unit for 5 pans</t>
        </is>
      </c>
      <c r="E16" s="5" t="inlineStr">
        <is>
          <t>nos</t>
        </is>
      </c>
      <c r="F16" s="6" t="n">
        <v>1</v>
      </c>
      <c r="G16" s="7" t="n"/>
      <c r="H16" s="8">
        <f>IF(G16="","",F16*G16)</f>
        <v/>
      </c>
      <c r="I16" s="9" t="n"/>
      <c r="J16" s="5" t="inlineStr">
        <is>
          <t>Sheet 1</t>
        </is>
      </c>
    </row>
    <row r="17">
      <c r="A17" s="5" t="inlineStr">
        <is>
          <t>A.11</t>
        </is>
      </c>
      <c r="B17" s="5" t="inlineStr">
        <is>
          <t>Dip and garnish rail</t>
        </is>
      </c>
      <c r="C17" s="5" t="inlineStr">
        <is>
          <t>650 × 120</t>
        </is>
      </c>
      <c r="D17" s="5" t="inlineStr">
        <is>
          <t>5 inserts, on the pass</t>
        </is>
      </c>
      <c r="E17" s="5" t="inlineStr">
        <is>
          <t>nos</t>
        </is>
      </c>
      <c r="F17" s="6" t="n">
        <v>1</v>
      </c>
      <c r="G17" s="7" t="n"/>
      <c r="H17" s="8">
        <f>IF(G17="","",F17*G17)</f>
        <v/>
      </c>
      <c r="I17" s="9" t="n"/>
      <c r="J17" s="5" t="inlineStr">
        <is>
          <t>Sheet 1</t>
        </is>
      </c>
    </row>
    <row r="18">
      <c r="A18" s="5" t="inlineStr">
        <is>
          <t>A.12</t>
        </is>
      </c>
      <c r="B18" s="5" t="inlineStr">
        <is>
          <t>Ticket rail</t>
        </is>
      </c>
      <c r="C18" s="5" t="inlineStr">
        <is>
          <t>650 long</t>
        </is>
      </c>
      <c r="D18" s="5" t="inlineStr">
        <is>
          <t>Above the pass hatch</t>
        </is>
      </c>
      <c r="E18" s="5" t="inlineStr">
        <is>
          <t>nos</t>
        </is>
      </c>
      <c r="F18" s="6" t="n">
        <v>1</v>
      </c>
      <c r="G18" s="7" t="n"/>
      <c r="H18" s="8">
        <f>IF(G18="","",F18*G18)</f>
        <v/>
      </c>
      <c r="I18" s="9" t="n"/>
      <c r="J18" s="5" t="inlineStr">
        <is>
          <t>Sheet 1</t>
        </is>
      </c>
    </row>
    <row r="19">
      <c r="A19" s="5" t="inlineStr">
        <is>
          <t>A.13</t>
        </is>
      </c>
      <c r="B19" s="5" t="inlineStr">
        <is>
          <t>Magnetic knife strip</t>
        </is>
      </c>
      <c r="C19" s="5" t="inlineStr">
        <is>
          <t>400 long</t>
        </is>
      </c>
      <c r="D19" s="5" t="inlineStr"/>
      <c r="E19" s="5" t="inlineStr">
        <is>
          <t>nos</t>
        </is>
      </c>
      <c r="F19" s="6" t="n">
        <v>2</v>
      </c>
      <c r="G19" s="7" t="n"/>
      <c r="H19" s="8">
        <f>IF(G19="","",F19*G19)</f>
        <v/>
      </c>
      <c r="I19" s="9" t="n"/>
      <c r="J19" s="5" t="inlineStr">
        <is>
          <t>Sheet 1</t>
        </is>
      </c>
    </row>
    <row r="20">
      <c r="A20" s="5" t="inlineStr">
        <is>
          <t>A.14</t>
        </is>
      </c>
      <c r="B20" s="5" t="inlineStr">
        <is>
          <t>Cutting-board rack</t>
        </is>
      </c>
      <c r="C20" s="5" t="inlineStr">
        <is>
          <t>280 × 420 × 420</t>
        </is>
      </c>
      <c r="D20" s="5" t="inlineStr">
        <is>
          <t>Slots for 4 colour-coded boards, under the non-veg bench</t>
        </is>
      </c>
      <c r="E20" s="5" t="inlineStr">
        <is>
          <t>nos</t>
        </is>
      </c>
      <c r="F20" s="6" t="n">
        <v>1</v>
      </c>
      <c r="G20" s="7" t="n"/>
      <c r="H20" s="8">
        <f>IF(G20="","",F20*G20)</f>
        <v/>
      </c>
      <c r="I20" s="9" t="n"/>
      <c r="J20" s="5" t="inlineStr">
        <is>
          <t>Sheet 1</t>
        </is>
      </c>
    </row>
    <row r="21">
      <c r="A21" s="5" t="inlineStr">
        <is>
          <t>A.15</t>
        </is>
      </c>
      <c r="B21" s="5" t="inlineStr">
        <is>
          <t>Floor channel drain</t>
        </is>
      </c>
      <c r="C21" s="5" t="inlineStr">
        <is>
          <t>3,150 × 80</t>
        </is>
      </c>
      <c r="D21" s="5" t="inlineStr">
        <is>
          <t>SS grating, falls to the grease trap</t>
        </is>
      </c>
      <c r="E21" s="5" t="inlineStr">
        <is>
          <t>m</t>
        </is>
      </c>
      <c r="F21" s="6" t="n">
        <v>3.15</v>
      </c>
      <c r="G21" s="7" t="n"/>
      <c r="H21" s="8">
        <f>IF(G21="","",F21*G21)</f>
        <v/>
      </c>
      <c r="I21" s="9" t="n"/>
      <c r="J21" s="5" t="inlineStr">
        <is>
          <t>Sheet 1</t>
        </is>
      </c>
    </row>
    <row r="22">
      <c r="A22" s="5" t="inlineStr">
        <is>
          <t>A.16</t>
        </is>
      </c>
      <c r="B22" s="5" t="inlineStr">
        <is>
          <t>Canopy hood</t>
        </is>
      </c>
      <c r="C22" s="5" t="inlineStr">
        <is>
          <t>3,350 × 950 × 550</t>
        </is>
      </c>
      <c r="D22" s="5" t="inlineStr">
        <is>
          <t>Bottom edge at 2.05 m; baffle filters, grease cup, LED lights; overhang 0.20 m at the open end, 0.15 m over the wok range</t>
        </is>
      </c>
      <c r="E22" s="5" t="inlineStr">
        <is>
          <t>nos</t>
        </is>
      </c>
      <c r="F22" s="6" t="n">
        <v>1</v>
      </c>
      <c r="G22" s="7" t="n"/>
      <c r="H22" s="8">
        <f>IF(G22="","",F22*G22)</f>
        <v/>
      </c>
      <c r="I22" s="9" t="n"/>
      <c r="J22" s="5" t="inlineStr">
        <is>
          <t>Sheet 2</t>
        </is>
      </c>
    </row>
    <row r="23">
      <c r="A23" s="5" t="inlineStr">
        <is>
          <t>A.17</t>
        </is>
      </c>
      <c r="B23" s="5" t="inlineStr">
        <is>
          <t>Exhaust ductwork</t>
        </is>
      </c>
      <c r="C23" s="5" t="inlineStr">
        <is>
          <t>400 × 400 section</t>
        </is>
      </c>
      <c r="D23" s="5" t="inlineStr">
        <is>
          <t>SS at 2.35 to 2.75 m: hood collar, wall penetration, along the back wall, round the corner, to the ESP, fan and discharge; brackets, bends and access doors</t>
        </is>
      </c>
      <c r="E23" s="5" t="inlineStr">
        <is>
          <t>m</t>
        </is>
      </c>
      <c r="F23" s="6" t="n">
        <v>5</v>
      </c>
      <c r="G23" s="7" t="n"/>
      <c r="H23" s="8">
        <f>IF(G23="","",F23*G23)</f>
        <v/>
      </c>
      <c r="I23" s="9" t="n"/>
      <c r="J23" s="5" t="inlineStr">
        <is>
          <t>Sheet 2 · measure on site</t>
        </is>
      </c>
    </row>
    <row r="24">
      <c r="A24" s="5" t="inlineStr">
        <is>
          <t>A.18</t>
        </is>
      </c>
      <c r="B24" s="5" t="inlineStr">
        <is>
          <t>Discharge elbow</t>
        </is>
      </c>
      <c r="C24" s="5" t="inlineStr">
        <is>
          <t>400 × 400 section</t>
        </is>
      </c>
      <c r="D24" s="5" t="inlineStr">
        <is>
          <t>About 2.6 m high, pointing away from the building; bird mesh and rain cowl</t>
        </is>
      </c>
      <c r="E24" s="5" t="inlineStr">
        <is>
          <t>nos</t>
        </is>
      </c>
      <c r="F24" s="6" t="n">
        <v>1</v>
      </c>
      <c r="G24" s="7" t="n"/>
      <c r="H24" s="8">
        <f>IF(G24="","",F24*G24)</f>
        <v/>
      </c>
      <c r="I24" s="9" t="n"/>
      <c r="J24" s="5" t="inlineStr">
        <is>
          <t>Sheet 2</t>
        </is>
      </c>
    </row>
    <row r="25">
      <c r="A25" s="5" t="inlineStr">
        <is>
          <t>A.19</t>
        </is>
      </c>
      <c r="B25" s="5" t="inlineStr">
        <is>
          <t>Storage deck racking</t>
        </is>
      </c>
      <c r="C25" s="5" t="inlineStr">
        <is>
          <t>450 × 2,050 · 1,900 × 450 · 800 × 450</t>
        </is>
      </c>
      <c r="D25" s="5" t="inlineStr">
        <is>
          <t>SS or galvanised, 3 tiers, one rack of each size</t>
        </is>
      </c>
      <c r="E25" s="5" t="inlineStr">
        <is>
          <t>nos</t>
        </is>
      </c>
      <c r="F25" s="6" t="n">
        <v>3</v>
      </c>
      <c r="G25" s="7" t="n"/>
      <c r="H25" s="8">
        <f>IF(G25="","",F25*G25)</f>
        <v/>
      </c>
      <c r="I25" s="9" t="n"/>
      <c r="J25" s="5" t="inlineStr">
        <is>
          <t>Model</t>
        </is>
      </c>
    </row>
    <row r="26">
      <c r="A26" s="5" t="inlineStr">
        <is>
          <t>A.20</t>
        </is>
      </c>
      <c r="B26" s="5" t="inlineStr">
        <is>
          <t>Ceiling hatch frame with fold-down ladder</t>
        </is>
      </c>
      <c r="C26" s="5" t="inlineStr">
        <is>
          <t>600 × 800 opening</t>
        </is>
      </c>
      <c r="D26" s="5" t="inlineStr">
        <is>
          <t>For light goods; heavy stock goes on the hoist (B.21)</t>
        </is>
      </c>
      <c r="E26" s="5" t="inlineStr">
        <is>
          <t>nos</t>
        </is>
      </c>
      <c r="F26" s="6" t="n">
        <v>1</v>
      </c>
      <c r="G26" s="7" t="n"/>
      <c r="H26" s="8">
        <f>IF(G26="","",F26*G26)</f>
        <v/>
      </c>
      <c r="I26" s="9" t="n"/>
      <c r="J26" s="5" t="inlineStr">
        <is>
          <t>Sheet 1</t>
        </is>
      </c>
    </row>
    <row r="27">
      <c r="A27" s="10" t="n"/>
      <c r="B27" s="10" t="inlineStr">
        <is>
          <t>Subtotal, section A</t>
        </is>
      </c>
      <c r="C27" s="10" t="n"/>
      <c r="D27" s="10" t="n"/>
      <c r="E27" s="10" t="n"/>
      <c r="F27" s="10" t="n"/>
      <c r="G27" s="10" t="n"/>
      <c r="H27" s="11">
        <f>SUM(H7:H26)</f>
        <v/>
      </c>
      <c r="I27" s="10" t="n"/>
      <c r="J27" s="10" t="n"/>
    </row>
    <row r="29">
      <c r="A29" s="4" t="inlineStr">
        <is>
          <t>B</t>
        </is>
      </c>
      <c r="B29" s="4" t="inlineStr">
        <is>
          <t>Cooking, cold and kitchen equipment (branded)</t>
        </is>
      </c>
      <c r="C29" s="4" t="n"/>
      <c r="D29" s="4" t="inlineStr">
        <is>
          <t>State make and model, kW or litres, and who services it in Goa. Sizes are the space available; do not quote a wider unit.</t>
        </is>
      </c>
      <c r="E29" s="4" t="n"/>
      <c r="F29" s="4" t="n"/>
      <c r="G29" s="4" t="n"/>
      <c r="H29" s="4" t="n"/>
      <c r="I29" s="4" t="n"/>
      <c r="J29" s="4" t="n"/>
    </row>
    <row r="30">
      <c r="A30" s="5" t="inlineStr">
        <is>
          <t>B.01</t>
        </is>
      </c>
      <c r="B30" s="5" t="inlineStr">
        <is>
          <t>Chinese wok range, 2 burners</t>
        </is>
      </c>
      <c r="C30" s="5" t="inlineStr">
        <is>
          <t>1,200 × 800 × 800</t>
        </is>
      </c>
      <c r="D30" s="5" t="inlineStr">
        <is>
          <t>LPG; state burner kW. 750 to 900 mm deep is acceptable (aisle is 0.95 m at the range)</t>
        </is>
      </c>
      <c r="E30" s="5" t="inlineStr">
        <is>
          <t>nos</t>
        </is>
      </c>
      <c r="F30" s="6" t="n">
        <v>1</v>
      </c>
      <c r="G30" s="7" t="n"/>
      <c r="H30" s="8">
        <f>IF(G30="","",F30*G30)</f>
        <v/>
      </c>
      <c r="I30" s="9" t="n"/>
      <c r="J30" s="5" t="inlineStr">
        <is>
          <t>Sheet 1</t>
        </is>
      </c>
    </row>
    <row r="31">
      <c r="A31" s="5" t="inlineStr">
        <is>
          <t>B.02</t>
        </is>
      </c>
      <c r="B31" s="5" t="inlineStr">
        <is>
          <t>Dim sum steamer, 2 holes</t>
        </is>
      </c>
      <c r="C31" s="5" t="inlineStr">
        <is>
          <t>600 × 700 × 800</t>
        </is>
      </c>
      <c r="D31" s="5" t="inlineStr">
        <is>
          <t>LPG; with water top-up</t>
        </is>
      </c>
      <c r="E31" s="5" t="inlineStr">
        <is>
          <t>nos</t>
        </is>
      </c>
      <c r="F31" s="6" t="n">
        <v>1</v>
      </c>
      <c r="G31" s="7" t="n"/>
      <c r="H31" s="8">
        <f>IF(G31="","",F31*G31)</f>
        <v/>
      </c>
      <c r="I31" s="9" t="n"/>
      <c r="J31" s="5" t="inlineStr">
        <is>
          <t>Sheet 1</t>
        </is>
      </c>
    </row>
    <row r="32">
      <c r="A32" s="5" t="inlineStr">
        <is>
          <t>B.03</t>
        </is>
      </c>
      <c r="B32" s="5" t="inlineStr">
        <is>
          <t>Twin-tank fryer</t>
        </is>
      </c>
      <c r="C32" s="5" t="inlineStr">
        <is>
          <t>600 × 700 × 900</t>
        </is>
      </c>
      <c r="D32" s="5" t="inlineStr">
        <is>
          <t>LPG; two tanks (veg and non-veg oil)</t>
        </is>
      </c>
      <c r="E32" s="5" t="inlineStr">
        <is>
          <t>nos</t>
        </is>
      </c>
      <c r="F32" s="6" t="n">
        <v>1</v>
      </c>
      <c r="G32" s="7" t="n"/>
      <c r="H32" s="8">
        <f>IF(G32="","",F32*G32)</f>
        <v/>
      </c>
      <c r="I32" s="9" t="n"/>
      <c r="J32" s="5" t="inlineStr">
        <is>
          <t>Sheet 1</t>
        </is>
      </c>
    </row>
    <row r="33">
      <c r="A33" s="5" t="inlineStr">
        <is>
          <t>B.04</t>
        </is>
      </c>
      <c r="B33" s="5" t="inlineStr">
        <is>
          <t>Stock range, 2 burners</t>
        </is>
      </c>
      <c r="C33" s="5" t="inlineStr">
        <is>
          <t>600 × 700 × 850</t>
        </is>
      </c>
      <c r="D33" s="5" t="inlineStr">
        <is>
          <t>LPG; for 20 L stock pots</t>
        </is>
      </c>
      <c r="E33" s="5" t="inlineStr">
        <is>
          <t>nos</t>
        </is>
      </c>
      <c r="F33" s="6" t="n">
        <v>1</v>
      </c>
      <c r="G33" s="7" t="n"/>
      <c r="H33" s="8">
        <f>IF(G33="","",F33*G33)</f>
        <v/>
      </c>
      <c r="I33" s="9" t="n"/>
      <c r="J33" s="5" t="inlineStr">
        <is>
          <t>Sheet 1</t>
        </is>
      </c>
    </row>
    <row r="34">
      <c r="A34" s="5" t="inlineStr">
        <is>
          <t>B.05</t>
        </is>
      </c>
      <c r="B34" s="5" t="inlineStr">
        <is>
          <t>Reach-in, 2 doors, dual temperature</t>
        </is>
      </c>
      <c r="C34" s="5" t="inlineStr">
        <is>
          <t>950 × 750 × 2,000</t>
        </is>
      </c>
      <c r="D34" s="5" t="inlineStr">
        <is>
          <t>About 800 L: fridge door at the front, freezer door at the back, doors open into the aisle; state litres of each side</t>
        </is>
      </c>
      <c r="E34" s="5" t="inlineStr">
        <is>
          <t>nos</t>
        </is>
      </c>
      <c r="F34" s="6" t="n">
        <v>1</v>
      </c>
      <c r="G34" s="7" t="n"/>
      <c r="H34" s="8">
        <f>IF(G34="","",F34*G34)</f>
        <v/>
      </c>
      <c r="I34" s="9" t="n"/>
      <c r="J34" s="5" t="inlineStr">
        <is>
          <t>Sheet 1</t>
        </is>
      </c>
    </row>
    <row r="35">
      <c r="A35" s="5" t="inlineStr">
        <is>
          <t>B.06</t>
        </is>
      </c>
      <c r="B35" s="5" t="inlineStr">
        <is>
          <t>Under-counter fridge (pass)</t>
        </is>
      </c>
      <c r="C35" s="5" t="inlineStr">
        <is>
          <t>600 × 550 × 700</t>
        </is>
      </c>
      <c r="D35" s="5" t="inlineStr">
        <is>
          <t>Sauce bases and cut veg; state litres</t>
        </is>
      </c>
      <c r="E35" s="5" t="inlineStr">
        <is>
          <t>nos</t>
        </is>
      </c>
      <c r="F35" s="6" t="n">
        <v>1</v>
      </c>
      <c r="G35" s="7" t="n"/>
      <c r="H35" s="8">
        <f>IF(G35="","",F35*G35)</f>
        <v/>
      </c>
      <c r="I35" s="9" t="n"/>
      <c r="J35" s="5" t="inlineStr">
        <is>
          <t>Sheet 1</t>
        </is>
      </c>
    </row>
    <row r="36">
      <c r="A36" s="5" t="inlineStr">
        <is>
          <t>B.07</t>
        </is>
      </c>
      <c r="B36" s="5" t="inlineStr">
        <is>
          <t>Under-counter freezer, 2 doors</t>
        </is>
      </c>
      <c r="C36" s="5" t="inlineStr">
        <is>
          <t>fits under 800 × 650</t>
        </is>
      </c>
      <c r="D36" s="5" t="inlineStr">
        <is>
          <t>State litres (target about 650 L of freezer in all with the reach-in)</t>
        </is>
      </c>
      <c r="E36" s="5" t="inlineStr">
        <is>
          <t>nos</t>
        </is>
      </c>
      <c r="F36" s="6" t="n">
        <v>1</v>
      </c>
      <c r="G36" s="7" t="n"/>
      <c r="H36" s="8">
        <f>IF(G36="","",F36*G36)</f>
        <v/>
      </c>
      <c r="I36" s="9" t="n"/>
      <c r="J36" s="5" t="inlineStr">
        <is>
          <t>Sheet 1</t>
        </is>
      </c>
    </row>
    <row r="37">
      <c r="A37" s="5" t="inlineStr">
        <is>
          <t>B.08</t>
        </is>
      </c>
      <c r="B37" s="5" t="inlineStr">
        <is>
          <t>Under-counter dishwasher</t>
        </is>
      </c>
      <c r="C37" s="5" t="inlineStr">
        <is>
          <t>600 × 650 × 900</t>
        </is>
      </c>
      <c r="D37" s="5" t="inlineStr">
        <is>
          <t>With drainboard and its own booster heater</t>
        </is>
      </c>
      <c r="E37" s="5" t="inlineStr">
        <is>
          <t>nos</t>
        </is>
      </c>
      <c r="F37" s="6" t="n">
        <v>1</v>
      </c>
      <c r="G37" s="7" t="n"/>
      <c r="H37" s="8">
        <f>IF(G37="","",F37*G37)</f>
        <v/>
      </c>
      <c r="I37" s="9" t="n"/>
      <c r="J37" s="5" t="inlineStr">
        <is>
          <t>Sheet 1</t>
        </is>
      </c>
    </row>
    <row r="38">
      <c r="A38" s="5" t="inlineStr">
        <is>
          <t>B.09</t>
        </is>
      </c>
      <c r="B38" s="5" t="inlineStr">
        <is>
          <t>Rice cooker</t>
        </is>
      </c>
      <c r="C38" s="5" t="inlineStr">
        <is>
          <t>Ø 260</t>
        </is>
      </c>
      <c r="D38" s="5" t="inlineStr">
        <is>
          <t>5 L; one for jasmine, one for sticky rice</t>
        </is>
      </c>
      <c r="E38" s="5" t="inlineStr">
        <is>
          <t>nos</t>
        </is>
      </c>
      <c r="F38" s="6" t="n">
        <v>2</v>
      </c>
      <c r="G38" s="7" t="n"/>
      <c r="H38" s="8">
        <f>IF(G38="","",F38*G38)</f>
        <v/>
      </c>
      <c r="I38" s="9" t="n"/>
      <c r="J38" s="5" t="inlineStr">
        <is>
          <t>Sheet 1</t>
        </is>
      </c>
    </row>
    <row r="39">
      <c r="A39" s="5" t="inlineStr">
        <is>
          <t>B.10</t>
        </is>
      </c>
      <c r="B39" s="5" t="inlineStr">
        <is>
          <t>Mixer-grinder</t>
        </is>
      </c>
      <c r="C39" s="5" t="inlineStr"/>
      <c r="D39" s="5" t="inlineStr">
        <is>
          <t>Commercial, for sauces and batter</t>
        </is>
      </c>
      <c r="E39" s="5" t="inlineStr">
        <is>
          <t>nos</t>
        </is>
      </c>
      <c r="F39" s="6" t="n">
        <v>1</v>
      </c>
      <c r="G39" s="7" t="n"/>
      <c r="H39" s="8">
        <f>IF(G39="","",F39*G39)</f>
        <v/>
      </c>
      <c r="I39" s="9" t="n"/>
      <c r="J39" s="5" t="inlineStr">
        <is>
          <t>Sheet 1</t>
        </is>
      </c>
    </row>
    <row r="40">
      <c r="A40" s="5" t="inlineStr">
        <is>
          <t>B.11</t>
        </is>
      </c>
      <c r="B40" s="5" t="inlineStr">
        <is>
          <t>Kitchen blowtorch</t>
        </is>
      </c>
      <c r="C40" s="5" t="inlineStr"/>
      <c r="D40" s="5" t="inlineStr"/>
      <c r="E40" s="5" t="inlineStr">
        <is>
          <t>nos</t>
        </is>
      </c>
      <c r="F40" s="6" t="n">
        <v>1</v>
      </c>
      <c r="G40" s="7" t="n"/>
      <c r="H40" s="8">
        <f>IF(G40="","",F40*G40)</f>
        <v/>
      </c>
      <c r="I40" s="9" t="n"/>
      <c r="J40" s="5" t="inlineStr">
        <is>
          <t>Sheet 1</t>
        </is>
      </c>
    </row>
    <row r="41">
      <c r="A41" s="5" t="inlineStr">
        <is>
          <t>B.12</t>
        </is>
      </c>
      <c r="B41" s="5" t="inlineStr">
        <is>
          <t>Storage water heater</t>
        </is>
      </c>
      <c r="C41" s="5" t="inlineStr">
        <is>
          <t>Ø 330 × 500</t>
        </is>
      </c>
      <c r="D41" s="5" t="inlineStr">
        <is>
          <t>35 L, 3 kW, 70 °C, high on the left wall over the dish line</t>
        </is>
      </c>
      <c r="E41" s="5" t="inlineStr">
        <is>
          <t>nos</t>
        </is>
      </c>
      <c r="F41" s="6" t="n">
        <v>1</v>
      </c>
      <c r="G41" s="7" t="n"/>
      <c r="H41" s="8">
        <f>IF(G41="","",F41*G41)</f>
        <v/>
      </c>
      <c r="I41" s="9" t="n"/>
      <c r="J41" s="5" t="inlineStr">
        <is>
          <t>Sheet 2</t>
        </is>
      </c>
    </row>
    <row r="42">
      <c r="A42" s="5" t="inlineStr">
        <is>
          <t>B.13</t>
        </is>
      </c>
      <c r="B42" s="5" t="inlineStr">
        <is>
          <t>Water heater for a hand-wash basin</t>
        </is>
      </c>
      <c r="C42" s="5" t="inlineStr"/>
      <c r="D42" s="5" t="inlineStr">
        <is>
          <t>6 L, under each basin</t>
        </is>
      </c>
      <c r="E42" s="5" t="inlineStr">
        <is>
          <t>nos</t>
        </is>
      </c>
      <c r="F42" s="6" t="n">
        <v>2</v>
      </c>
      <c r="G42" s="7" t="n"/>
      <c r="H42" s="8">
        <f>IF(G42="","",F42*G42)</f>
        <v/>
      </c>
      <c r="I42" s="9" t="n"/>
      <c r="J42" s="5" t="inlineStr">
        <is>
          <t>Sheet 2</t>
        </is>
      </c>
    </row>
    <row r="43">
      <c r="A43" s="5" t="inlineStr">
        <is>
          <t>B.14</t>
        </is>
      </c>
      <c r="B43" s="5" t="inlineStr">
        <is>
          <t>Insect killer</t>
        </is>
      </c>
      <c r="C43" s="5" t="inlineStr">
        <is>
          <t>500 × 180</t>
        </is>
      </c>
      <c r="D43" s="5" t="inlineStr">
        <is>
          <t>Over the kitchen door</t>
        </is>
      </c>
      <c r="E43" s="5" t="inlineStr">
        <is>
          <t>nos</t>
        </is>
      </c>
      <c r="F43" s="6" t="n">
        <v>1</v>
      </c>
      <c r="G43" s="7" t="n"/>
      <c r="H43" s="8">
        <f>IF(G43="","",F43*G43)</f>
        <v/>
      </c>
      <c r="I43" s="9" t="n"/>
      <c r="J43" s="5" t="inlineStr">
        <is>
          <t>Sheet 1</t>
        </is>
      </c>
    </row>
    <row r="44">
      <c r="A44" s="5" t="inlineStr">
        <is>
          <t>B.15</t>
        </is>
      </c>
      <c r="B44" s="5" t="inlineStr">
        <is>
          <t>Heat lamp over the pass</t>
        </is>
      </c>
      <c r="C44" s="5" t="inlineStr"/>
      <c r="D44" s="5" t="inlineStr">
        <is>
          <t>On its own switch</t>
        </is>
      </c>
      <c r="E44" s="5" t="inlineStr">
        <is>
          <t>nos</t>
        </is>
      </c>
      <c r="F44" s="6" t="n">
        <v>2</v>
      </c>
      <c r="G44" s="7" t="n"/>
      <c r="H44" s="8">
        <f>IF(G44="","",F44*G44)</f>
        <v/>
      </c>
      <c r="I44" s="9" t="n"/>
      <c r="J44" s="5" t="inlineStr">
        <is>
          <t>Sheet 1</t>
        </is>
      </c>
    </row>
    <row r="45">
      <c r="A45" s="5" t="inlineStr">
        <is>
          <t>B.16</t>
        </is>
      </c>
      <c r="B45" s="5" t="inlineStr">
        <is>
          <t>ESP with carbon odour filter</t>
        </is>
      </c>
      <c r="C45" s="5" t="inlineStr">
        <is>
          <t>500 × 1,000 × 900</t>
        </is>
      </c>
      <c r="D45" s="5" t="inlineStr">
        <is>
          <t>Outside at 2.05 to 2.95 m</t>
        </is>
      </c>
      <c r="E45" s="5" t="inlineStr">
        <is>
          <t>nos</t>
        </is>
      </c>
      <c r="F45" s="6" t="n">
        <v>1</v>
      </c>
      <c r="G45" s="7" t="n"/>
      <c r="H45" s="8">
        <f>IF(G45="","",F45*G45)</f>
        <v/>
      </c>
      <c r="I45" s="9" t="n"/>
      <c r="J45" s="5" t="inlineStr">
        <is>
          <t>Sheet 2</t>
        </is>
      </c>
    </row>
    <row r="46">
      <c r="A46" s="5" t="inlineStr">
        <is>
          <t>B.17</t>
        </is>
      </c>
      <c r="B46" s="5" t="inlineStr">
        <is>
          <t>Inline exhaust fan</t>
        </is>
      </c>
      <c r="C46" s="5" t="inlineStr">
        <is>
          <t>Ø 440</t>
        </is>
      </c>
      <c r="D46" s="5" t="inlineStr">
        <is>
          <t>4,000 to 5,000 m³/h; anti-vibration mounts, speed control</t>
        </is>
      </c>
      <c r="E46" s="5" t="inlineStr">
        <is>
          <t>nos</t>
        </is>
      </c>
      <c r="F46" s="6" t="n">
        <v>1</v>
      </c>
      <c r="G46" s="7" t="n"/>
      <c r="H46" s="8">
        <f>IF(G46="","",F46*G46)</f>
        <v/>
      </c>
      <c r="I46" s="9" t="n"/>
      <c r="J46" s="5" t="inlineStr">
        <is>
          <t>Sheet 2</t>
        </is>
      </c>
    </row>
    <row r="47">
      <c r="A47" s="5" t="inlineStr">
        <is>
          <t>B.18</t>
        </is>
      </c>
      <c r="B47" s="5" t="inlineStr">
        <is>
          <t>Fresh-air intake fan</t>
        </is>
      </c>
      <c r="C47" s="5" t="inlineStr">
        <is>
          <t>500 × 480</t>
        </is>
      </c>
      <c r="D47" s="5" t="inlineStr">
        <is>
          <t>High on the back wall; interlocked with the exhaust</t>
        </is>
      </c>
      <c r="E47" s="5" t="inlineStr">
        <is>
          <t>nos</t>
        </is>
      </c>
      <c r="F47" s="6" t="n">
        <v>1</v>
      </c>
      <c r="G47" s="7" t="n"/>
      <c r="H47" s="8">
        <f>IF(G47="","",F47*G47)</f>
        <v/>
      </c>
      <c r="I47" s="9" t="n"/>
      <c r="J47" s="5" t="inlineStr">
        <is>
          <t>Sheet 2</t>
        </is>
      </c>
    </row>
    <row r="48">
      <c r="A48" s="5" t="inlineStr">
        <is>
          <t>B.19</t>
        </is>
      </c>
      <c r="B48" s="5" t="inlineStr">
        <is>
          <t>Make-up air diffuser</t>
        </is>
      </c>
      <c r="C48" s="5" t="inlineStr">
        <is>
          <t>600 × 500</t>
        </is>
      </c>
      <c r="D48" s="5" t="inlineStr">
        <is>
          <t>Perforated, low velocity, in the kitchen ceiling</t>
        </is>
      </c>
      <c r="E48" s="5" t="inlineStr">
        <is>
          <t>nos</t>
        </is>
      </c>
      <c r="F48" s="6" t="n">
        <v>2</v>
      </c>
      <c r="G48" s="7" t="n"/>
      <c r="H48" s="8">
        <f>IF(G48="","",F48*G48)</f>
        <v/>
      </c>
      <c r="I48" s="9" t="n"/>
      <c r="J48" s="5" t="inlineStr">
        <is>
          <t>Sheet 2</t>
        </is>
      </c>
    </row>
    <row r="49">
      <c r="A49" s="5" t="inlineStr">
        <is>
          <t>B.20</t>
        </is>
      </c>
      <c r="B49" s="5" t="inlineStr">
        <is>
          <t>Make-up air cooling coil with condenser</t>
        </is>
      </c>
      <c r="C49" s="5" t="inlineStr">
        <is>
          <t>condenser 800 × 550 × 300</t>
        </is>
      </c>
      <c r="D49" s="5" t="inlineStr">
        <is>
          <t>1.5 TR; condenser on the right side wall at about 3.0 m</t>
        </is>
      </c>
      <c r="E49" s="5" t="inlineStr">
        <is>
          <t>set</t>
        </is>
      </c>
      <c r="F49" s="6" t="n">
        <v>1</v>
      </c>
      <c r="G49" s="7" t="n"/>
      <c r="H49" s="8">
        <f>IF(G49="","",F49*G49)</f>
        <v/>
      </c>
      <c r="I49" s="9" t="n"/>
      <c r="J49" s="5" t="inlineStr">
        <is>
          <t>Sheet 2</t>
        </is>
      </c>
    </row>
    <row r="50">
      <c r="A50" s="5" t="inlineStr">
        <is>
          <t>B.21</t>
        </is>
      </c>
      <c r="B50" s="5" t="inlineStr">
        <is>
          <t>Goods hoist</t>
        </is>
      </c>
      <c r="C50" s="5" t="inlineStr"/>
      <c r="D50" s="5" t="inlineStr">
        <is>
          <t>Electric, 200 kg, over the ceiling hatch, with limit switch</t>
        </is>
      </c>
      <c r="E50" s="5" t="inlineStr">
        <is>
          <t>nos</t>
        </is>
      </c>
      <c r="F50" s="6" t="n">
        <v>1</v>
      </c>
      <c r="G50" s="7" t="n"/>
      <c r="H50" s="8">
        <f>IF(G50="","",F50*G50)</f>
        <v/>
      </c>
      <c r="I50" s="9" t="n"/>
      <c r="J50" s="5" t="inlineStr">
        <is>
          <t>Sheet 2</t>
        </is>
      </c>
    </row>
    <row r="51">
      <c r="A51" s="5" t="inlineStr">
        <is>
          <t>B.22</t>
        </is>
      </c>
      <c r="B51" s="5" t="inlineStr">
        <is>
          <t>Smallware</t>
        </is>
      </c>
      <c r="C51" s="5" t="inlineStr"/>
      <c r="D51" s="5" t="inlineStr">
        <is>
          <t>To the chef's list: carbon-steel woks, ladle, spatula, spider, wok brush, pans, food pans, knives, boards, stone mortar</t>
        </is>
      </c>
      <c r="E51" s="5" t="inlineStr">
        <is>
          <t>lot</t>
        </is>
      </c>
      <c r="F51" s="6" t="n">
        <v>1</v>
      </c>
      <c r="G51" s="7" t="n"/>
      <c r="H51" s="8">
        <f>IF(G51="","",F51*G51)</f>
        <v/>
      </c>
      <c r="I51" s="9" t="n"/>
      <c r="J51" s="5" t="inlineStr">
        <is>
          <t>Chef</t>
        </is>
      </c>
    </row>
    <row r="52">
      <c r="A52" s="5" t="inlineStr">
        <is>
          <t>B.23</t>
        </is>
      </c>
      <c r="B52" s="5" t="inlineStr">
        <is>
          <t>Bamboo steamer stack</t>
        </is>
      </c>
      <c r="C52" s="5" t="inlineStr">
        <is>
          <t>Ø 260</t>
        </is>
      </c>
      <c r="D52" s="5" t="inlineStr">
        <is>
          <t>3 baskets and a lid, for the drying shelf (the steamer comes with its own baskets, B.02)</t>
        </is>
      </c>
      <c r="E52" s="5" t="inlineStr">
        <is>
          <t>nos</t>
        </is>
      </c>
      <c r="F52" s="6" t="n">
        <v>3</v>
      </c>
      <c r="G52" s="7" t="n"/>
      <c r="H52" s="8">
        <f>IF(G52="","",F52*G52)</f>
        <v/>
      </c>
      <c r="I52" s="9" t="n"/>
      <c r="J52" s="5" t="inlineStr">
        <is>
          <t>Sheet 1</t>
        </is>
      </c>
    </row>
    <row r="53">
      <c r="A53" s="10" t="n"/>
      <c r="B53" s="10" t="inlineStr">
        <is>
          <t>Subtotal, section B</t>
        </is>
      </c>
      <c r="C53" s="10" t="n"/>
      <c r="D53" s="10" t="n"/>
      <c r="E53" s="10" t="n"/>
      <c r="F53" s="10" t="n"/>
      <c r="G53" s="10" t="n"/>
      <c r="H53" s="11">
        <f>SUM(H30:H52)</f>
        <v/>
      </c>
      <c r="I53" s="10" t="n"/>
      <c r="J53" s="10" t="n"/>
    </row>
    <row r="55">
      <c r="A55" s="4" t="inlineStr">
        <is>
          <t>C</t>
        </is>
      </c>
      <c r="B55" s="4" t="inlineStr">
        <is>
          <t>Gas installation (licensed contractor, for the fire NOC)</t>
        </is>
      </c>
      <c r="C55" s="4" t="n"/>
      <c r="D55" s="4" t="inlineStr">
        <is>
          <t>Pressure test and a written certificate are part of the work.</t>
        </is>
      </c>
      <c r="E55" s="4" t="n"/>
      <c r="F55" s="4" t="n"/>
      <c r="G55" s="4" t="n"/>
      <c r="H55" s="4" t="n"/>
      <c r="I55" s="4" t="n"/>
      <c r="J55" s="4" t="n"/>
    </row>
    <row r="56">
      <c r="A56" s="5" t="inlineStr">
        <is>
          <t>C.01</t>
        </is>
      </c>
      <c r="B56" s="5" t="inlineStr">
        <is>
          <t>LPG cage</t>
        </is>
      </c>
      <c r="C56" s="5" t="inlineStr">
        <is>
          <t>350 × 1,700 × 1,600</t>
        </is>
      </c>
      <c r="D56" s="5" t="inlineStr">
        <is>
          <t>Locked and ventilated, on the right strip</t>
        </is>
      </c>
      <c r="E56" s="5" t="inlineStr">
        <is>
          <t>nos</t>
        </is>
      </c>
      <c r="F56" s="6" t="n">
        <v>1</v>
      </c>
      <c r="G56" s="7" t="n"/>
      <c r="H56" s="8">
        <f>IF(G56="","",F56*G56)</f>
        <v/>
      </c>
      <c r="I56" s="9" t="n"/>
      <c r="J56" s="5" t="inlineStr">
        <is>
          <t>Sheet 2</t>
        </is>
      </c>
    </row>
    <row r="57">
      <c r="A57" s="5" t="inlineStr">
        <is>
          <t>C.02</t>
        </is>
      </c>
      <c r="B57" s="5" t="inlineStr">
        <is>
          <t>LPG cylinder with changeover manifold and regulator</t>
        </is>
      </c>
      <c r="C57" s="5" t="inlineStr">
        <is>
          <t>19 kg each</t>
        </is>
      </c>
      <c r="D57" s="5" t="inlineStr">
        <is>
          <t>4 on line and 1 spare, 95 kg in all</t>
        </is>
      </c>
      <c r="E57" s="5" t="inlineStr">
        <is>
          <t>nos</t>
        </is>
      </c>
      <c r="F57" s="6" t="n">
        <v>5</v>
      </c>
      <c r="G57" s="7" t="n"/>
      <c r="H57" s="8">
        <f>IF(G57="","",F57*G57)</f>
        <v/>
      </c>
      <c r="I57" s="9" t="n"/>
      <c r="J57" s="5" t="inlineStr">
        <is>
          <t>Sheet 2</t>
        </is>
      </c>
    </row>
    <row r="58">
      <c r="A58" s="5" t="inlineStr">
        <is>
          <t>C.03</t>
        </is>
      </c>
      <c r="B58" s="5" t="inlineStr">
        <is>
          <t>Copper gas pipe</t>
        </is>
      </c>
      <c r="C58" s="5" t="inlineStr">
        <is>
          <t>size by contractor</t>
        </is>
      </c>
      <c r="D58" s="5" t="inlineStr">
        <is>
          <t>With clamps and sleeves: along the right outside wall at 1.3 m, in at the back corner, drop to the manifold at 0.4 m, along the back of the hot line</t>
        </is>
      </c>
      <c r="E58" s="5" t="inlineStr">
        <is>
          <t>m</t>
        </is>
      </c>
      <c r="F58" s="6" t="n">
        <v>9</v>
      </c>
      <c r="G58" s="7" t="n"/>
      <c r="H58" s="8">
        <f>IF(G58="","",F58*G58)</f>
        <v/>
      </c>
      <c r="I58" s="9" t="n"/>
      <c r="J58" s="5" t="inlineStr">
        <is>
          <t>Sheet 2 · measure on site</t>
        </is>
      </c>
    </row>
    <row r="59">
      <c r="A59" s="5" t="inlineStr">
        <is>
          <t>C.04</t>
        </is>
      </c>
      <c r="B59" s="5" t="inlineStr">
        <is>
          <t>Gas solenoid valve</t>
        </is>
      </c>
      <c r="C59" s="5" t="inlineStr"/>
      <c r="D59" s="5" t="inlineStr">
        <is>
          <t>Weatherproof, outside on the entry; closes with the exhaust fan or the hood suppression</t>
        </is>
      </c>
      <c r="E59" s="5" t="inlineStr">
        <is>
          <t>nos</t>
        </is>
      </c>
      <c r="F59" s="6" t="n">
        <v>1</v>
      </c>
      <c r="G59" s="7" t="n"/>
      <c r="H59" s="8">
        <f>IF(G59="","",F59*G59)</f>
        <v/>
      </c>
      <c r="I59" s="9" t="n"/>
      <c r="J59" s="5" t="inlineStr">
        <is>
          <t>Sheet 2</t>
        </is>
      </c>
    </row>
    <row r="60">
      <c r="A60" s="5" t="inlineStr">
        <is>
          <t>C.05</t>
        </is>
      </c>
      <c r="B60" s="5" t="inlineStr">
        <is>
          <t>Ball valve, one per appliance</t>
        </is>
      </c>
      <c r="C60" s="5" t="inlineStr"/>
      <c r="D60" s="5" t="inlineStr">
        <is>
          <t>On the manifold</t>
        </is>
      </c>
      <c r="E60" s="5" t="inlineStr">
        <is>
          <t>nos</t>
        </is>
      </c>
      <c r="F60" s="6" t="n">
        <v>6</v>
      </c>
      <c r="G60" s="7" t="n"/>
      <c r="H60" s="8">
        <f>IF(G60="","",F60*G60)</f>
        <v/>
      </c>
      <c r="I60" s="9" t="n"/>
      <c r="J60" s="5" t="inlineStr">
        <is>
          <t>Sheet 2</t>
        </is>
      </c>
    </row>
    <row r="61">
      <c r="A61" s="5" t="inlineStr">
        <is>
          <t>C.06</t>
        </is>
      </c>
      <c r="B61" s="5" t="inlineStr">
        <is>
          <t>Flexible gas hose, certified</t>
        </is>
      </c>
      <c r="C61" s="5" t="inlineStr"/>
      <c r="D61" s="5" t="inlineStr">
        <is>
          <t>One per appliance</t>
        </is>
      </c>
      <c r="E61" s="5" t="inlineStr">
        <is>
          <t>nos</t>
        </is>
      </c>
      <c r="F61" s="6" t="n">
        <v>6</v>
      </c>
      <c r="G61" s="7" t="n"/>
      <c r="H61" s="8">
        <f>IF(G61="","",F61*G61)</f>
        <v/>
      </c>
      <c r="I61" s="9" t="n"/>
      <c r="J61" s="5" t="inlineStr">
        <is>
          <t>Sheet 2</t>
        </is>
      </c>
    </row>
    <row r="62">
      <c r="A62" s="5" t="inlineStr">
        <is>
          <t>C.07</t>
        </is>
      </c>
      <c r="B62" s="5" t="inlineStr">
        <is>
          <t>LPG leak detector</t>
        </is>
      </c>
      <c r="C62" s="5" t="inlineStr"/>
      <c r="D62" s="5" t="inlineStr">
        <is>
          <t>With cut-off signal, low on the right wall</t>
        </is>
      </c>
      <c r="E62" s="5" t="inlineStr">
        <is>
          <t>nos</t>
        </is>
      </c>
      <c r="F62" s="6" t="n">
        <v>1</v>
      </c>
      <c r="G62" s="7" t="n"/>
      <c r="H62" s="8">
        <f>IF(G62="","",F62*G62)</f>
        <v/>
      </c>
      <c r="I62" s="9" t="n"/>
      <c r="J62" s="5" t="inlineStr">
        <is>
          <t>Sheet 2</t>
        </is>
      </c>
    </row>
    <row r="63">
      <c r="A63" s="5" t="inlineStr">
        <is>
          <t>C.08</t>
        </is>
      </c>
      <c r="B63" s="5" t="inlineStr">
        <is>
          <t>Pressure test, commissioning and certificate</t>
        </is>
      </c>
      <c r="C63" s="5" t="inlineStr"/>
      <c r="D63" s="5" t="inlineStr"/>
      <c r="E63" s="5" t="inlineStr">
        <is>
          <t>lot</t>
        </is>
      </c>
      <c r="F63" s="6" t="n">
        <v>1</v>
      </c>
      <c r="G63" s="7" t="n"/>
      <c r="H63" s="8">
        <f>IF(G63="","",F63*G63)</f>
        <v/>
      </c>
      <c r="I63" s="9" t="n"/>
      <c r="J63" s="5" t="inlineStr"/>
    </row>
    <row r="64">
      <c r="A64" s="10" t="n"/>
      <c r="B64" s="10" t="inlineStr">
        <is>
          <t>Subtotal, section C</t>
        </is>
      </c>
      <c r="C64" s="10" t="n"/>
      <c r="D64" s="10" t="n"/>
      <c r="E64" s="10" t="n"/>
      <c r="F64" s="10" t="n"/>
      <c r="G64" s="10" t="n"/>
      <c r="H64" s="11">
        <f>SUM(H56:H63)</f>
        <v/>
      </c>
      <c r="I64" s="10" t="n"/>
      <c r="J64" s="10" t="n"/>
    </row>
    <row r="66">
      <c r="A66" s="4" t="inlineStr">
        <is>
          <t>D</t>
        </is>
      </c>
      <c r="B66" s="4" t="inlineStr">
        <is>
          <t>Plumbing and drainage</t>
        </is>
      </c>
      <c r="C66" s="4" t="n"/>
      <c r="D66" s="4" t="inlineStr">
        <is>
          <t>Sizes and fittings by the plumber. All kitchen drains go to the grease trap, then the grey-water line (never the biodigester).</t>
        </is>
      </c>
      <c r="E66" s="4" t="n"/>
      <c r="F66" s="4" t="n"/>
      <c r="G66" s="4" t="n"/>
      <c r="H66" s="4" t="n"/>
      <c r="I66" s="4" t="n"/>
      <c r="J66" s="4" t="n"/>
    </row>
    <row r="67">
      <c r="A67" s="5" t="inlineStr">
        <is>
          <t>D.01</t>
        </is>
      </c>
      <c r="B67" s="5" t="inlineStr">
        <is>
          <t>Water sump, buried</t>
        </is>
      </c>
      <c r="C67" s="5" t="inlineStr">
        <is>
          <t>1,300 × 1,000 × 800</t>
        </is>
      </c>
      <c r="D67" s="5" t="inlineStr">
        <is>
          <t>1,000 L, with lid and tanker inlet, under the garden</t>
        </is>
      </c>
      <c r="E67" s="5" t="inlineStr">
        <is>
          <t>nos</t>
        </is>
      </c>
      <c r="F67" s="6" t="n">
        <v>1</v>
      </c>
      <c r="G67" s="7" t="n"/>
      <c r="H67" s="8">
        <f>IF(G67="","",F67*G67)</f>
        <v/>
      </c>
      <c r="I67" s="9" t="n"/>
      <c r="J67" s="5" t="inlineStr">
        <is>
          <t>Plan</t>
        </is>
      </c>
    </row>
    <row r="68">
      <c r="A68" s="5" t="inlineStr">
        <is>
          <t>D.02</t>
        </is>
      </c>
      <c r="B68" s="5" t="inlineStr">
        <is>
          <t>Pressure pump set with sediment filter and softener</t>
        </is>
      </c>
      <c r="C68" s="5" t="inlineStr"/>
      <c r="D68" s="5" t="inlineStr">
        <is>
          <t>0.5 HP pump; fits in the water cabinet (D.03)</t>
        </is>
      </c>
      <c r="E68" s="5" t="inlineStr">
        <is>
          <t>set</t>
        </is>
      </c>
      <c r="F68" s="6" t="n">
        <v>1</v>
      </c>
      <c r="G68" s="7" t="n"/>
      <c r="H68" s="8">
        <f>IF(G68="","",F68*G68)</f>
        <v/>
      </c>
      <c r="I68" s="9" t="n"/>
      <c r="J68" s="5" t="inlineStr">
        <is>
          <t>Sheet 2</t>
        </is>
      </c>
    </row>
    <row r="69">
      <c r="A69" s="5" t="inlineStr">
        <is>
          <t>D.03</t>
        </is>
      </c>
      <c r="B69" s="5" t="inlineStr">
        <is>
          <t>Water cabinet</t>
        </is>
      </c>
      <c r="C69" s="5" t="inlineStr">
        <is>
          <t>450 × 800 × 1,500</t>
        </is>
      </c>
      <c r="D69" s="5" t="inlineStr">
        <is>
          <t>Ventilated, on the right strip; fabrication included</t>
        </is>
      </c>
      <c r="E69" s="5" t="inlineStr">
        <is>
          <t>nos</t>
        </is>
      </c>
      <c r="F69" s="6" t="n">
        <v>1</v>
      </c>
      <c r="G69" s="7" t="n"/>
      <c r="H69" s="8">
        <f>IF(G69="","",F69*G69)</f>
        <v/>
      </c>
      <c r="I69" s="9" t="n"/>
      <c r="J69" s="5" t="inlineStr">
        <is>
          <t>Sheet 2</t>
        </is>
      </c>
    </row>
    <row r="70">
      <c r="A70" s="5" t="inlineStr">
        <is>
          <t>D.04</t>
        </is>
      </c>
      <c r="B70" s="5" t="inlineStr">
        <is>
          <t>Cold and hot water pipe with fittings and isolation valves</t>
        </is>
      </c>
      <c r="C70" s="5" t="inlineStr">
        <is>
          <t>CPVC or PPR</t>
        </is>
      </c>
      <c r="D70" s="5" t="inlineStr">
        <is>
          <t>Cabinet to the kitchen along the strip, and the hot-water run to the sink and dishwasher</t>
        </is>
      </c>
      <c r="E70" s="5" t="inlineStr">
        <is>
          <t>lot</t>
        </is>
      </c>
      <c r="F70" s="6" t="n">
        <v>1</v>
      </c>
      <c r="G70" s="7" t="n"/>
      <c r="H70" s="8">
        <f>IF(G70="","",F70*G70)</f>
        <v/>
      </c>
      <c r="I70" s="9" t="n"/>
      <c r="J70" s="5" t="inlineStr">
        <is>
          <t>Sheet 2 · about 20 m</t>
        </is>
      </c>
    </row>
    <row r="71">
      <c r="A71" s="5" t="inlineStr">
        <is>
          <t>D.05</t>
        </is>
      </c>
      <c r="B71" s="5" t="inlineStr">
        <is>
          <t>Hand-wash basin, wall-mounted</t>
        </is>
      </c>
      <c r="C71" s="5" t="inlineStr">
        <is>
          <t>330 × 400 and 250 × 250</t>
        </is>
      </c>
      <c r="D71" s="5" t="inlineStr">
        <is>
          <t>Hands-free tap and soap dispenser: one at the door, one at the prep corner</t>
        </is>
      </c>
      <c r="E71" s="5" t="inlineStr">
        <is>
          <t>nos</t>
        </is>
      </c>
      <c r="F71" s="6" t="n">
        <v>2</v>
      </c>
      <c r="G71" s="7" t="n"/>
      <c r="H71" s="8">
        <f>IF(G71="","",F71*G71)</f>
        <v/>
      </c>
      <c r="I71" s="9" t="n"/>
      <c r="J71" s="5" t="inlineStr">
        <is>
          <t>Sheet 1</t>
        </is>
      </c>
    </row>
    <row r="72">
      <c r="A72" s="5" t="inlineStr">
        <is>
          <t>D.06</t>
        </is>
      </c>
      <c r="B72" s="5" t="inlineStr">
        <is>
          <t>Swan-neck wok tap</t>
        </is>
      </c>
      <c r="C72" s="5" t="inlineStr"/>
      <c r="D72" s="5" t="inlineStr">
        <is>
          <t>Wall-mounted, tall, at the wok range</t>
        </is>
      </c>
      <c r="E72" s="5" t="inlineStr">
        <is>
          <t>nos</t>
        </is>
      </c>
      <c r="F72" s="6" t="n">
        <v>1</v>
      </c>
      <c r="G72" s="7" t="n"/>
      <c r="H72" s="8">
        <f>IF(G72="","",F72*G72)</f>
        <v/>
      </c>
      <c r="I72" s="9" t="n"/>
      <c r="J72" s="5" t="inlineStr">
        <is>
          <t>Sheet 2</t>
        </is>
      </c>
    </row>
    <row r="73">
      <c r="A73" s="5" t="inlineStr">
        <is>
          <t>D.07</t>
        </is>
      </c>
      <c r="B73" s="5" t="inlineStr">
        <is>
          <t>Mixer taps for the veg sink and the dish sink</t>
        </is>
      </c>
      <c r="C73" s="5" t="inlineStr"/>
      <c r="D73" s="5" t="inlineStr">
        <is>
          <t>Tall mixer tap for the veg sink; sink mixer with pre-rinse spray for the dish sink</t>
        </is>
      </c>
      <c r="E73" s="5" t="inlineStr">
        <is>
          <t>set</t>
        </is>
      </c>
      <c r="F73" s="6" t="n">
        <v>1</v>
      </c>
      <c r="G73" s="7" t="n"/>
      <c r="H73" s="8">
        <f>IF(G73="","",F73*G73)</f>
        <v/>
      </c>
      <c r="I73" s="9" t="n"/>
      <c r="J73" s="5" t="inlineStr">
        <is>
          <t>Sheet 2</t>
        </is>
      </c>
    </row>
    <row r="74">
      <c r="A74" s="5" t="inlineStr">
        <is>
          <t>D.08</t>
        </is>
      </c>
      <c r="B74" s="5" t="inlineStr">
        <is>
          <t>Pot filler</t>
        </is>
      </c>
      <c r="C74" s="5" t="inlineStr"/>
      <c r="D74" s="5" t="inlineStr">
        <is>
          <t>Wall-mounted swing arm, cold, over the stock range</t>
        </is>
      </c>
      <c r="E74" s="5" t="inlineStr">
        <is>
          <t>nos</t>
        </is>
      </c>
      <c r="F74" s="6" t="n">
        <v>1</v>
      </c>
      <c r="G74" s="7" t="n"/>
      <c r="H74" s="8">
        <f>IF(G74="","",F74*G74)</f>
        <v/>
      </c>
      <c r="I74" s="9" t="n"/>
      <c r="J74" s="5" t="inlineStr">
        <is>
          <t>Sheet 2</t>
        </is>
      </c>
    </row>
    <row r="75">
      <c r="A75" s="5" t="inlineStr">
        <is>
          <t>D.09</t>
        </is>
      </c>
      <c r="B75" s="5" t="inlineStr">
        <is>
          <t>Steamer water feed with isolation valve</t>
        </is>
      </c>
      <c r="C75" s="5" t="inlineStr"/>
      <c r="D75" s="5" t="inlineStr">
        <is>
          <t>At the back wall</t>
        </is>
      </c>
      <c r="E75" s="5" t="inlineStr">
        <is>
          <t>nos</t>
        </is>
      </c>
      <c r="F75" s="6" t="n">
        <v>1</v>
      </c>
      <c r="G75" s="7" t="n"/>
      <c r="H75" s="8">
        <f>IF(G75="","",F75*G75)</f>
        <v/>
      </c>
      <c r="I75" s="9" t="n"/>
      <c r="J75" s="5" t="inlineStr">
        <is>
          <t>Sheet 2</t>
        </is>
      </c>
    </row>
    <row r="76">
      <c r="A76" s="5" t="inlineStr">
        <is>
          <t>D.10</t>
        </is>
      </c>
      <c r="B76" s="5" t="inlineStr">
        <is>
          <t>Grease trap</t>
        </is>
      </c>
      <c r="C76" s="5" t="inlineStr">
        <is>
          <t>450 × 450</t>
        </is>
      </c>
      <c r="D76" s="5" t="inlineStr">
        <is>
          <t>Outside back corner, with cover</t>
        </is>
      </c>
      <c r="E76" s="5" t="inlineStr">
        <is>
          <t>nos</t>
        </is>
      </c>
      <c r="F76" s="6" t="n">
        <v>1</v>
      </c>
      <c r="G76" s="7" t="n"/>
      <c r="H76" s="8">
        <f>IF(G76="","",F76*G76)</f>
        <v/>
      </c>
      <c r="I76" s="9" t="n"/>
      <c r="J76" s="5" t="inlineStr">
        <is>
          <t>Sheet 2</t>
        </is>
      </c>
    </row>
    <row r="77">
      <c r="A77" s="5" t="inlineStr">
        <is>
          <t>D.11</t>
        </is>
      </c>
      <c r="B77" s="5" t="inlineStr">
        <is>
          <t>Drain pipe uPVC with fittings</t>
        </is>
      </c>
      <c r="C77" s="5" t="inlineStr">
        <is>
          <t>100 mm</t>
        </is>
      </c>
      <c r="D77" s="5" t="inlineStr">
        <is>
          <t>Floor channel, sinks, hand-wash basins and dishwasher to the grease trap and grey-water line</t>
        </is>
      </c>
      <c r="E77" s="5" t="inlineStr">
        <is>
          <t>m</t>
        </is>
      </c>
      <c r="F77" s="6" t="n">
        <v>12</v>
      </c>
      <c r="G77" s="7" t="n"/>
      <c r="H77" s="8">
        <f>IF(G77="","",F77*G77)</f>
        <v/>
      </c>
      <c r="I77" s="9" t="n"/>
      <c r="J77" s="5" t="inlineStr">
        <is>
          <t>Sheet 2 · measure on site</t>
        </is>
      </c>
    </row>
    <row r="78">
      <c r="A78" s="5" t="inlineStr">
        <is>
          <t>D.12</t>
        </is>
      </c>
      <c r="B78" s="5" t="inlineStr">
        <is>
          <t>Floor trap with grating</t>
        </is>
      </c>
      <c r="C78" s="5" t="inlineStr"/>
      <c r="D78" s="5" t="inlineStr">
        <is>
          <t>SS</t>
        </is>
      </c>
      <c r="E78" s="5" t="inlineStr">
        <is>
          <t>nos</t>
        </is>
      </c>
      <c r="F78" s="6" t="n">
        <v>2</v>
      </c>
      <c r="G78" s="7" t="n"/>
      <c r="H78" s="8">
        <f>IF(G78="","",F78*G78)</f>
        <v/>
      </c>
      <c r="I78" s="9" t="n"/>
      <c r="J78" s="5" t="inlineStr">
        <is>
          <t>Sheet 2</t>
        </is>
      </c>
    </row>
    <row r="79">
      <c r="A79" s="10" t="n"/>
      <c r="B79" s="10" t="inlineStr">
        <is>
          <t>Subtotal, section D</t>
        </is>
      </c>
      <c r="C79" s="10" t="n"/>
      <c r="D79" s="10" t="n"/>
      <c r="E79" s="10" t="n"/>
      <c r="F79" s="10" t="n"/>
      <c r="G79" s="10" t="n"/>
      <c r="H79" s="11">
        <f>SUM(H67:H78)</f>
        <v/>
      </c>
      <c r="I79" s="10" t="n"/>
      <c r="J79" s="10" t="n"/>
    </row>
    <row r="81">
      <c r="A81" s="4" t="inlineStr">
        <is>
          <t>E</t>
        </is>
      </c>
      <c r="B81" s="4" t="inlineStr">
        <is>
          <t>Electrical</t>
        </is>
      </c>
      <c r="C81" s="4" t="n"/>
      <c r="D81" s="4" t="inlineStr">
        <is>
          <t>Three-phase supply about 15 to 20 kW. The fridges, exhaust fan, ESP, lights and water pump are on the power backup. Point numbers are on sheet 2.</t>
        </is>
      </c>
      <c r="E81" s="4" t="n"/>
      <c r="F81" s="4" t="n"/>
      <c r="G81" s="4" t="n"/>
      <c r="H81" s="4" t="n"/>
      <c r="I81" s="4" t="n"/>
      <c r="J81" s="4" t="n"/>
    </row>
    <row r="82">
      <c r="A82" s="5" t="inlineStr">
        <is>
          <t>E.01</t>
        </is>
      </c>
      <c r="B82" s="5" t="inlineStr">
        <is>
          <t>Socket or switch points 1 to 14</t>
        </is>
      </c>
      <c r="C82" s="5" t="inlineStr"/>
      <c r="D82" s="5" t="inlineStr">
        <is>
          <t>As marked on sheet 2 (fridge, freezer, rice cookers, mise-en-place rail, heat lamps, dishwasher, insect killer, hood and panel, pass fridge, grinder, heater isolator, hand-wash heaters, hoist), with their own MCBs where marked</t>
        </is>
      </c>
      <c r="E82" s="5" t="inlineStr">
        <is>
          <t>nos</t>
        </is>
      </c>
      <c r="F82" s="6" t="n">
        <v>14</v>
      </c>
      <c r="G82" s="7" t="n"/>
      <c r="H82" s="8">
        <f>IF(G82="","",F82*G82)</f>
        <v/>
      </c>
      <c r="I82" s="9" t="n"/>
      <c r="J82" s="5" t="inlineStr">
        <is>
          <t>Sheet 2</t>
        </is>
      </c>
    </row>
    <row r="83">
      <c r="A83" s="5" t="inlineStr">
        <is>
          <t>E.02</t>
        </is>
      </c>
      <c r="B83" s="5" t="inlineStr">
        <is>
          <t>Kitchen sub-distribution board</t>
        </is>
      </c>
      <c r="C83" s="5" t="inlineStr"/>
      <c r="D83" s="5" t="inlineStr">
        <is>
          <t>With RCCB and MCBs, earthing and labelling</t>
        </is>
      </c>
      <c r="E83" s="5" t="inlineStr">
        <is>
          <t>nos</t>
        </is>
      </c>
      <c r="F83" s="6" t="n">
        <v>1</v>
      </c>
      <c r="G83" s="7" t="n"/>
      <c r="H83" s="8">
        <f>IF(G83="","",F83*G83)</f>
        <v/>
      </c>
      <c r="I83" s="9" t="n"/>
      <c r="J83" s="5" t="inlineStr">
        <is>
          <t>Sheet 1</t>
        </is>
      </c>
    </row>
    <row r="84">
      <c r="A84" s="5" t="inlineStr">
        <is>
          <t>E.03</t>
        </is>
      </c>
      <c r="B84" s="5" t="inlineStr">
        <is>
          <t>Exhaust fan and ESP control panel</t>
        </is>
      </c>
      <c r="C84" s="5" t="inlineStr"/>
      <c r="D84" s="5" t="inlineStr">
        <is>
          <t>With hood-light switch and interlocks (fan, make-up air, gas solenoid, suppression)</t>
        </is>
      </c>
      <c r="E84" s="5" t="inlineStr">
        <is>
          <t>nos</t>
        </is>
      </c>
      <c r="F84" s="6" t="n">
        <v>1</v>
      </c>
      <c r="G84" s="7" t="n"/>
      <c r="H84" s="8">
        <f>IF(G84="","",F84*G84)</f>
        <v/>
      </c>
      <c r="I84" s="9" t="n"/>
      <c r="J84" s="5" t="inlineStr">
        <is>
          <t>Sheet 2</t>
        </is>
      </c>
    </row>
    <row r="85">
      <c r="A85" s="5" t="inlineStr">
        <is>
          <t>E.04</t>
        </is>
      </c>
      <c r="B85" s="5" t="inlineStr">
        <is>
          <t>LED hood light</t>
        </is>
      </c>
      <c r="C85" s="5" t="inlineStr">
        <is>
          <t>300 × 200</t>
        </is>
      </c>
      <c r="D85" s="5" t="inlineStr">
        <is>
          <t>Vapour-proof</t>
        </is>
      </c>
      <c r="E85" s="5" t="inlineStr">
        <is>
          <t>nos</t>
        </is>
      </c>
      <c r="F85" s="6" t="n">
        <v>3</v>
      </c>
      <c r="G85" s="7" t="n"/>
      <c r="H85" s="8">
        <f>IF(G85="","",F85*G85)</f>
        <v/>
      </c>
      <c r="I85" s="9" t="n"/>
      <c r="J85" s="5" t="inlineStr">
        <is>
          <t>Sheet 2</t>
        </is>
      </c>
    </row>
    <row r="86">
      <c r="A86" s="5" t="inlineStr">
        <is>
          <t>E.05</t>
        </is>
      </c>
      <c r="B86" s="5" t="inlineStr">
        <is>
          <t>LED ceiling panel</t>
        </is>
      </c>
      <c r="C86" s="5" t="inlineStr">
        <is>
          <t>600 × 600</t>
        </is>
      </c>
      <c r="D86" s="5" t="inlineStr"/>
      <c r="E86" s="5" t="inlineStr">
        <is>
          <t>nos</t>
        </is>
      </c>
      <c r="F86" s="6" t="n">
        <v>3</v>
      </c>
      <c r="G86" s="7" t="n"/>
      <c r="H86" s="8">
        <f>IF(G86="","",F86*G86)</f>
        <v/>
      </c>
      <c r="I86" s="9" t="n"/>
      <c r="J86" s="5" t="inlineStr">
        <is>
          <t>Model</t>
        </is>
      </c>
    </row>
    <row r="87">
      <c r="A87" s="5" t="inlineStr">
        <is>
          <t>E.06</t>
        </is>
      </c>
      <c r="B87" s="5" t="inlineStr">
        <is>
          <t>Cable, conduit, trunking and fixings</t>
        </is>
      </c>
      <c r="C87" s="5" t="inlineStr"/>
      <c r="D87" s="5" t="inlineStr">
        <is>
          <t>For all kitchen points</t>
        </is>
      </c>
      <c r="E87" s="5" t="inlineStr">
        <is>
          <t>lot</t>
        </is>
      </c>
      <c r="F87" s="6" t="n">
        <v>1</v>
      </c>
      <c r="G87" s="7" t="n"/>
      <c r="H87" s="8">
        <f>IF(G87="","",F87*G87)</f>
        <v/>
      </c>
      <c r="I87" s="9" t="n"/>
      <c r="J87" s="5" t="inlineStr"/>
    </row>
    <row r="88">
      <c r="A88" s="5" t="inlineStr">
        <is>
          <t>E.07</t>
        </is>
      </c>
      <c r="B88" s="5" t="inlineStr">
        <is>
          <t>Emergency light and EXIT sign</t>
        </is>
      </c>
      <c r="C88" s="5" t="inlineStr"/>
      <c r="D88" s="5" t="inlineStr">
        <is>
          <t>At the rear door</t>
        </is>
      </c>
      <c r="E88" s="5" t="inlineStr">
        <is>
          <t>set</t>
        </is>
      </c>
      <c r="F88" s="6" t="n">
        <v>1</v>
      </c>
      <c r="G88" s="7" t="n"/>
      <c r="H88" s="8">
        <f>IF(G88="","",F88*G88)</f>
        <v/>
      </c>
      <c r="I88" s="9" t="n"/>
      <c r="J88" s="5" t="inlineStr">
        <is>
          <t>Sheet 1</t>
        </is>
      </c>
    </row>
    <row r="89">
      <c r="A89" s="5" t="inlineStr">
        <is>
          <t>E.08</t>
        </is>
      </c>
      <c r="B89" s="5" t="inlineStr">
        <is>
          <t>Testing and commissioning of all circuits</t>
        </is>
      </c>
      <c r="C89" s="5" t="inlineStr"/>
      <c r="D89" s="5" t="inlineStr"/>
      <c r="E89" s="5" t="inlineStr">
        <is>
          <t>lot</t>
        </is>
      </c>
      <c r="F89" s="6" t="n">
        <v>1</v>
      </c>
      <c r="G89" s="7" t="n"/>
      <c r="H89" s="8">
        <f>IF(G89="","",F89*G89)</f>
        <v/>
      </c>
      <c r="I89" s="9" t="n"/>
      <c r="J89" s="5" t="inlineStr"/>
    </row>
    <row r="90">
      <c r="A90" s="10" t="n"/>
      <c r="B90" s="10" t="inlineStr">
        <is>
          <t>Subtotal, section E</t>
        </is>
      </c>
      <c r="C90" s="10" t="n"/>
      <c r="D90" s="10" t="n"/>
      <c r="E90" s="10" t="n"/>
      <c r="F90" s="10" t="n"/>
      <c r="G90" s="10" t="n"/>
      <c r="H90" s="11">
        <f>SUM(H82:H89)</f>
        <v/>
      </c>
      <c r="I90" s="10" t="n"/>
      <c r="J90" s="10" t="n"/>
    </row>
    <row r="92">
      <c r="A92" s="4" t="inlineStr">
        <is>
          <t>F</t>
        </is>
      </c>
      <c r="B92" s="4" t="inlineStr">
        <is>
          <t>Civil and finishes</t>
        </is>
      </c>
      <c r="C92" s="4" t="n"/>
      <c r="D92" s="4" t="inlineStr">
        <is>
          <t>Quantities from the 4.9 × 2.4 m kitchen; add wastage as usual. Ceiling must be non-combustible (no PVC).</t>
        </is>
      </c>
      <c r="E92" s="4" t="n"/>
      <c r="F92" s="4" t="n"/>
      <c r="G92" s="4" t="n"/>
      <c r="H92" s="4" t="n"/>
      <c r="I92" s="4" t="n"/>
      <c r="J92" s="4" t="n"/>
    </row>
    <row r="93">
      <c r="A93" s="5" t="inlineStr">
        <is>
          <t>F.01</t>
        </is>
      </c>
      <c r="B93" s="5" t="inlineStr">
        <is>
          <t>Wall tiles, white glazed</t>
        </is>
      </c>
      <c r="C93" s="5" t="inlineStr">
        <is>
          <t>75 mm tile</t>
        </is>
      </c>
      <c r="D93" s="5" t="inlineStr">
        <is>
          <t>To 2.1 m on the left wall and the partition, 0.85 to 2.1 m on the back and right walls; grout and corner trims</t>
        </is>
      </c>
      <c r="E93" s="5" t="inlineStr">
        <is>
          <t>m²</t>
        </is>
      </c>
      <c r="F93" s="6" t="n">
        <v>22.4</v>
      </c>
      <c r="G93" s="7" t="n"/>
      <c r="H93" s="8">
        <f>IF(G93="","",F93*G93)</f>
        <v/>
      </c>
      <c r="I93" s="9" t="n"/>
      <c r="J93" s="5" t="inlineStr">
        <is>
          <t>Model</t>
        </is>
      </c>
    </row>
    <row r="94">
      <c r="A94" s="5" t="inlineStr">
        <is>
          <t>F.02</t>
        </is>
      </c>
      <c r="B94" s="5" t="inlineStr">
        <is>
          <t>Anti-slip epoxy floor, grey</t>
        </is>
      </c>
      <c r="C94" s="5" t="inlineStr"/>
      <c r="D94" s="5" t="inlineStr">
        <is>
          <t>With falls to the channel drain</t>
        </is>
      </c>
      <c r="E94" s="5" t="inlineStr">
        <is>
          <t>m²</t>
        </is>
      </c>
      <c r="F94" s="6" t="n">
        <v>11.8</v>
      </c>
      <c r="G94" s="7" t="n"/>
      <c r="H94" s="8">
        <f>IF(G94="","",F94*G94)</f>
        <v/>
      </c>
      <c r="I94" s="9" t="n"/>
      <c r="J94" s="5" t="inlineStr">
        <is>
          <t>Model</t>
        </is>
      </c>
    </row>
    <row r="95">
      <c r="A95" s="5" t="inlineStr">
        <is>
          <t>F.03</t>
        </is>
      </c>
      <c r="B95" s="5" t="inlineStr">
        <is>
          <t>Cement-board ceiling at 2.70 m</t>
        </is>
      </c>
      <c r="C95" s="5" t="inlineStr"/>
      <c r="D95" s="5" t="inlineStr">
        <is>
          <t>Non-combustible, with frame and white paint</t>
        </is>
      </c>
      <c r="E95" s="5" t="inlineStr">
        <is>
          <t>m²</t>
        </is>
      </c>
      <c r="F95" s="6" t="n">
        <v>11.8</v>
      </c>
      <c r="G95" s="7" t="n"/>
      <c r="H95" s="8">
        <f>IF(G95="","",F95*G95)</f>
        <v/>
      </c>
      <c r="I95" s="9" t="n"/>
      <c r="J95" s="5" t="inlineStr">
        <is>
          <t>Model</t>
        </is>
      </c>
    </row>
    <row r="96">
      <c r="A96" s="5" t="inlineStr">
        <is>
          <t>F.04</t>
        </is>
      </c>
      <c r="B96" s="5" t="inlineStr">
        <is>
          <t>Double-acting kitchen door</t>
        </is>
      </c>
      <c r="C96" s="5" t="inlineStr">
        <is>
          <t>800 × 2,050</t>
        </is>
      </c>
      <c r="D96" s="5" t="inlineStr">
        <is>
          <t>Stainless, spring pivots, vision panel, push plates and kick plate</t>
        </is>
      </c>
      <c r="E96" s="5" t="inlineStr">
        <is>
          <t>nos</t>
        </is>
      </c>
      <c r="F96" s="6" t="n">
        <v>1</v>
      </c>
      <c r="G96" s="7" t="n"/>
      <c r="H96" s="8">
        <f>IF(G96="","",F96*G96)</f>
        <v/>
      </c>
      <c r="I96" s="9" t="n"/>
      <c r="J96" s="5" t="inlineStr">
        <is>
          <t>Sheet 1</t>
        </is>
      </c>
    </row>
    <row r="97">
      <c r="A97" s="5" t="inlineStr">
        <is>
          <t>F.05</t>
        </is>
      </c>
      <c r="B97" s="5" t="inlineStr">
        <is>
          <t>Rear exit door</t>
        </is>
      </c>
      <c r="C97" s="5" t="inlineStr">
        <is>
          <t>800 × 2,100</t>
        </is>
      </c>
      <c r="D97" s="5" t="inlineStr">
        <is>
          <t>Opening outward; closer, rubber sweep, PVC strip curtain and panic bar</t>
        </is>
      </c>
      <c r="E97" s="5" t="inlineStr">
        <is>
          <t>set</t>
        </is>
      </c>
      <c r="F97" s="6" t="n">
        <v>1</v>
      </c>
      <c r="G97" s="7" t="n"/>
      <c r="H97" s="8">
        <f>IF(G97="","",F97*G97)</f>
        <v/>
      </c>
      <c r="I97" s="9" t="n"/>
      <c r="J97" s="5" t="inlineStr">
        <is>
          <t>Sheet 1</t>
        </is>
      </c>
    </row>
    <row r="98">
      <c r="A98" s="5" t="inlineStr">
        <is>
          <t>F.06</t>
        </is>
      </c>
      <c r="B98" s="5" t="inlineStr">
        <is>
          <t>Cutting and making good</t>
        </is>
      </c>
      <c r="C98" s="5" t="inlineStr">
        <is>
          <t>400 × 400 duct opening</t>
        </is>
      </c>
      <c r="D98" s="5" t="inlineStr">
        <is>
          <t>Duct opening in the back wall, gas and water sleeves, fan and intake openings</t>
        </is>
      </c>
      <c r="E98" s="5" t="inlineStr">
        <is>
          <t>lot</t>
        </is>
      </c>
      <c r="F98" s="6" t="n">
        <v>1</v>
      </c>
      <c r="G98" s="7" t="n"/>
      <c r="H98" s="8">
        <f>IF(G98="","",F98*G98)</f>
        <v/>
      </c>
      <c r="I98" s="9" t="n"/>
      <c r="J98" s="5" t="inlineStr">
        <is>
          <t>Sheet 2</t>
        </is>
      </c>
    </row>
    <row r="99">
      <c r="A99" s="5" t="inlineStr">
        <is>
          <t>F.07</t>
        </is>
      </c>
      <c r="B99" s="5" t="inlineStr">
        <is>
          <t>Storage deck over the kitchen</t>
        </is>
      </c>
      <c r="C99" s="5" t="inlineStr">
        <is>
          <t>4,900 × 2,400</t>
        </is>
      </c>
      <c r="D99" s="5" t="inlineStr">
        <is>
          <t>Plywood on steel joists, rated for storage only</t>
        </is>
      </c>
      <c r="E99" s="5" t="inlineStr">
        <is>
          <t>m²</t>
        </is>
      </c>
      <c r="F99" s="6" t="n">
        <v>11.8</v>
      </c>
      <c r="G99" s="7" t="n"/>
      <c r="H99" s="8">
        <f>IF(G99="","",F99*G99)</f>
        <v/>
      </c>
      <c r="I99" s="9" t="n"/>
      <c r="J99" s="5" t="inlineStr">
        <is>
          <t>Model</t>
        </is>
      </c>
    </row>
    <row r="100">
      <c r="A100" s="10" t="n"/>
      <c r="B100" s="10" t="inlineStr">
        <is>
          <t>Subtotal, section F</t>
        </is>
      </c>
      <c r="C100" s="10" t="n"/>
      <c r="D100" s="10" t="n"/>
      <c r="E100" s="10" t="n"/>
      <c r="F100" s="10" t="n"/>
      <c r="G100" s="10" t="n"/>
      <c r="H100" s="11">
        <f>SUM(H93:H99)</f>
        <v/>
      </c>
      <c r="I100" s="10" t="n"/>
      <c r="J100" s="10" t="n"/>
    </row>
    <row r="102">
      <c r="A102" s="4" t="inlineStr">
        <is>
          <t>G</t>
        </is>
      </c>
      <c r="B102" s="4" t="inlineStr">
        <is>
          <t>Fire and safety</t>
        </is>
      </c>
      <c r="C102" s="4" t="n"/>
      <c r="D102" s="4" t="inlineStr">
        <is>
          <t>Needed for the fire NOC.</t>
        </is>
      </c>
      <c r="E102" s="4" t="n"/>
      <c r="F102" s="4" t="n"/>
      <c r="G102" s="4" t="n"/>
      <c r="H102" s="4" t="n"/>
      <c r="I102" s="4" t="n"/>
      <c r="J102" s="4" t="n"/>
    </row>
    <row r="103">
      <c r="A103" s="5" t="inlineStr">
        <is>
          <t>G.01</t>
        </is>
      </c>
      <c r="B103" s="5" t="inlineStr">
        <is>
          <t>Wet-chemical hood suppression</t>
        </is>
      </c>
      <c r="C103" s="5" t="inlineStr"/>
      <c r="D103" s="5" t="inlineStr">
        <is>
          <t>Nozzles over each appliance, manual pull and automatic gas cut-off</t>
        </is>
      </c>
      <c r="E103" s="5" t="inlineStr">
        <is>
          <t>set</t>
        </is>
      </c>
      <c r="F103" s="6" t="n">
        <v>1</v>
      </c>
      <c r="G103" s="7" t="n"/>
      <c r="H103" s="8">
        <f>IF(G103="","",F103*G103)</f>
        <v/>
      </c>
      <c r="I103" s="9" t="n"/>
      <c r="J103" s="5" t="inlineStr">
        <is>
          <t>Sheet 2</t>
        </is>
      </c>
    </row>
    <row r="104">
      <c r="A104" s="5" t="inlineStr">
        <is>
          <t>G.02</t>
        </is>
      </c>
      <c r="B104" s="5" t="inlineStr">
        <is>
          <t>Extinguisher, wet chemical (Class K)</t>
        </is>
      </c>
      <c r="C104" s="5" t="inlineStr">
        <is>
          <t>6 L</t>
        </is>
      </c>
      <c r="D104" s="5" t="inlineStr">
        <is>
          <t>On the back wall at the end of the hot line</t>
        </is>
      </c>
      <c r="E104" s="5" t="inlineStr">
        <is>
          <t>nos</t>
        </is>
      </c>
      <c r="F104" s="6" t="n">
        <v>1</v>
      </c>
      <c r="G104" s="7" t="n"/>
      <c r="H104" s="8">
        <f>IF(G104="","",F104*G104)</f>
        <v/>
      </c>
      <c r="I104" s="9" t="n"/>
      <c r="J104" s="5" t="inlineStr">
        <is>
          <t>Sheet 1</t>
        </is>
      </c>
    </row>
    <row r="105">
      <c r="A105" s="5" t="inlineStr">
        <is>
          <t>G.03</t>
        </is>
      </c>
      <c r="B105" s="5" t="inlineStr">
        <is>
          <t>Extinguisher, CO₂</t>
        </is>
      </c>
      <c r="C105" s="5" t="inlineStr">
        <is>
          <t>4.5 kg</t>
        </is>
      </c>
      <c r="D105" s="5" t="inlineStr">
        <is>
          <t>Beside the electrical board at the kitchen door</t>
        </is>
      </c>
      <c r="E105" s="5" t="inlineStr">
        <is>
          <t>nos</t>
        </is>
      </c>
      <c r="F105" s="6" t="n">
        <v>1</v>
      </c>
      <c r="G105" s="7" t="n"/>
      <c r="H105" s="8">
        <f>IF(G105="","",F105*G105)</f>
        <v/>
      </c>
      <c r="I105" s="9" t="n"/>
      <c r="J105" s="5" t="inlineStr">
        <is>
          <t>Model</t>
        </is>
      </c>
    </row>
    <row r="106">
      <c r="A106" s="5" t="inlineStr">
        <is>
          <t>G.04</t>
        </is>
      </c>
      <c r="B106" s="5" t="inlineStr">
        <is>
          <t>Fire blanket in a wall box</t>
        </is>
      </c>
      <c r="C106" s="5" t="inlineStr"/>
      <c r="D106" s="5" t="inlineStr"/>
      <c r="E106" s="5" t="inlineStr">
        <is>
          <t>nos</t>
        </is>
      </c>
      <c r="F106" s="6" t="n">
        <v>1</v>
      </c>
      <c r="G106" s="7" t="n"/>
      <c r="H106" s="8">
        <f>IF(G106="","",F106*G106)</f>
        <v/>
      </c>
      <c r="I106" s="9" t="n"/>
      <c r="J106" s="5" t="inlineStr">
        <is>
          <t>Sheet 1</t>
        </is>
      </c>
    </row>
    <row r="107">
      <c r="A107" s="5" t="inlineStr">
        <is>
          <t>G.05</t>
        </is>
      </c>
      <c r="B107" s="5" t="inlineStr">
        <is>
          <t>First-aid box</t>
        </is>
      </c>
      <c r="C107" s="5" t="inlineStr"/>
      <c r="D107" s="5" t="inlineStr">
        <is>
          <t>On the wall</t>
        </is>
      </c>
      <c r="E107" s="5" t="inlineStr">
        <is>
          <t>nos</t>
        </is>
      </c>
      <c r="F107" s="6" t="n">
        <v>1</v>
      </c>
      <c r="G107" s="7" t="n"/>
      <c r="H107" s="8">
        <f>IF(G107="","",F107*G107)</f>
        <v/>
      </c>
      <c r="I107" s="9" t="n"/>
      <c r="J107" s="5" t="inlineStr">
        <is>
          <t>Model</t>
        </is>
      </c>
    </row>
    <row r="108">
      <c r="A108" s="5" t="inlineStr">
        <is>
          <t>G.06</t>
        </is>
      </c>
      <c r="B108" s="5" t="inlineStr">
        <is>
          <t>Heat detector</t>
        </is>
      </c>
      <c r="C108" s="5" t="inlineStr"/>
      <c r="D108" s="5" t="inlineStr">
        <is>
          <t>On the kitchen ceiling, wired to the alarm panel</t>
        </is>
      </c>
      <c r="E108" s="5" t="inlineStr">
        <is>
          <t>nos</t>
        </is>
      </c>
      <c r="F108" s="6" t="n">
        <v>1</v>
      </c>
      <c r="G108" s="7" t="n"/>
      <c r="H108" s="8">
        <f>IF(G108="","",F108*G108)</f>
        <v/>
      </c>
      <c r="I108" s="9" t="n"/>
      <c r="J108" s="5" t="inlineStr">
        <is>
          <t>Sheet 2</t>
        </is>
      </c>
    </row>
    <row r="109">
      <c r="A109" s="10" t="n"/>
      <c r="B109" s="10" t="inlineStr">
        <is>
          <t>Subtotal, section G</t>
        </is>
      </c>
      <c r="C109" s="10" t="n"/>
      <c r="D109" s="10" t="n"/>
      <c r="E109" s="10" t="n"/>
      <c r="F109" s="10" t="n"/>
      <c r="G109" s="10" t="n"/>
      <c r="H109" s="11">
        <f>SUM(H103:H108)</f>
        <v/>
      </c>
      <c r="I109" s="10" t="n"/>
      <c r="J109" s="10" t="n"/>
    </row>
    <row r="111">
      <c r="A111" s="4" t="inlineStr">
        <is>
          <t>H</t>
        </is>
      </c>
      <c r="B111" s="4" t="inlineStr">
        <is>
          <t>Outside, bins and housekeeping</t>
        </is>
      </c>
      <c r="C111" s="4" t="n"/>
      <c r="D111" s="4" t="inlineStr"/>
      <c r="E111" s="4" t="n"/>
      <c r="F111" s="4" t="n"/>
      <c r="G111" s="4" t="n"/>
      <c r="H111" s="4" t="n"/>
      <c r="I111" s="4" t="n"/>
      <c r="J111" s="4" t="n"/>
    </row>
    <row r="112">
      <c r="A112" s="5" t="inlineStr">
        <is>
          <t>H.01</t>
        </is>
      </c>
      <c r="B112" s="5" t="inlineStr">
        <is>
          <t>Bin store</t>
        </is>
      </c>
      <c r="C112" s="5" t="inlineStr">
        <is>
          <t>450 × 900 × 1,000</t>
        </is>
      </c>
      <c r="D112" s="5" t="inlineStr">
        <is>
          <t>Timber slats, on the right strip</t>
        </is>
      </c>
      <c r="E112" s="5" t="inlineStr">
        <is>
          <t>nos</t>
        </is>
      </c>
      <c r="F112" s="6" t="n">
        <v>1</v>
      </c>
      <c r="G112" s="7" t="n"/>
      <c r="H112" s="8">
        <f>IF(G112="","",F112*G112)</f>
        <v/>
      </c>
      <c r="I112" s="9" t="n"/>
      <c r="J112" s="5" t="inlineStr">
        <is>
          <t>Plan</t>
        </is>
      </c>
    </row>
    <row r="113">
      <c r="A113" s="5" t="inlineStr">
        <is>
          <t>H.02</t>
        </is>
      </c>
      <c r="B113" s="5" t="inlineStr">
        <is>
          <t>Wheeled bin</t>
        </is>
      </c>
      <c r="C113" s="5" t="inlineStr">
        <is>
          <t>60 L</t>
        </is>
      </c>
      <c r="D113" s="5" t="inlineStr">
        <is>
          <t>Wet, dry and glass</t>
        </is>
      </c>
      <c r="E113" s="5" t="inlineStr">
        <is>
          <t>nos</t>
        </is>
      </c>
      <c r="F113" s="6" t="n">
        <v>3</v>
      </c>
      <c r="G113" s="7" t="n"/>
      <c r="H113" s="8">
        <f>IF(G113="","",F113*G113)</f>
        <v/>
      </c>
      <c r="I113" s="9" t="n"/>
      <c r="J113" s="5" t="inlineStr">
        <is>
          <t>Plan</t>
        </is>
      </c>
    </row>
    <row r="114">
      <c r="A114" s="5" t="inlineStr">
        <is>
          <t>H.03</t>
        </is>
      </c>
      <c r="B114" s="5" t="inlineStr">
        <is>
          <t>Foot-pedal bin</t>
        </is>
      </c>
      <c r="C114" s="5" t="inlineStr">
        <is>
          <t>Ø 200 × 600</t>
        </is>
      </c>
      <c r="D114" s="5" t="inlineStr">
        <is>
          <t>Wet under the veg sink, dry by the rear door</t>
        </is>
      </c>
      <c r="E114" s="5" t="inlineStr">
        <is>
          <t>nos</t>
        </is>
      </c>
      <c r="F114" s="6" t="n">
        <v>2</v>
      </c>
      <c r="G114" s="7" t="n"/>
      <c r="H114" s="8">
        <f>IF(G114="","",F114*G114)</f>
        <v/>
      </c>
      <c r="I114" s="9" t="n"/>
      <c r="J114" s="5" t="inlineStr">
        <is>
          <t>Sheet 1</t>
        </is>
      </c>
    </row>
    <row r="115">
      <c r="A115" s="5" t="inlineStr">
        <is>
          <t>H.04</t>
        </is>
      </c>
      <c r="B115" s="5" t="inlineStr">
        <is>
          <t>Steel bollard</t>
        </is>
      </c>
      <c r="C115" s="5" t="inlineStr">
        <is>
          <t>Ø 130 × 900</t>
        </is>
      </c>
      <c r="D115" s="5" t="inlineStr">
        <is>
          <t>On the edge of the strip</t>
        </is>
      </c>
      <c r="E115" s="5" t="inlineStr">
        <is>
          <t>nos</t>
        </is>
      </c>
      <c r="F115" s="6" t="n">
        <v>6</v>
      </c>
      <c r="G115" s="7" t="n"/>
      <c r="H115" s="8">
        <f>IF(G115="","",F115*G115)</f>
        <v/>
      </c>
      <c r="I115" s="9" t="n"/>
      <c r="J115" s="5" t="inlineStr">
        <is>
          <t>Plan</t>
        </is>
      </c>
    </row>
    <row r="116">
      <c r="A116" s="5" t="inlineStr">
        <is>
          <t>H.05</t>
        </is>
      </c>
      <c r="B116" s="5" t="inlineStr">
        <is>
          <t>Apron hook rail</t>
        </is>
      </c>
      <c r="C116" s="5" t="inlineStr">
        <is>
          <t>3 hooks</t>
        </is>
      </c>
      <c r="D116" s="5" t="inlineStr">
        <is>
          <t>Above the prep-corner hand-wash</t>
        </is>
      </c>
      <c r="E116" s="5" t="inlineStr">
        <is>
          <t>nos</t>
        </is>
      </c>
      <c r="F116" s="6" t="n">
        <v>1</v>
      </c>
      <c r="G116" s="7" t="n"/>
      <c r="H116" s="8">
        <f>IF(G116="","",F116*G116)</f>
        <v/>
      </c>
      <c r="I116" s="9" t="n"/>
      <c r="J116" s="5" t="inlineStr">
        <is>
          <t>Sheet 1</t>
        </is>
      </c>
    </row>
    <row r="117">
      <c r="A117" s="5" t="inlineStr">
        <is>
          <t>H.06</t>
        </is>
      </c>
      <c r="B117" s="5" t="inlineStr">
        <is>
          <t>Dirty-linen bag with lid; used-oil can with spill tray</t>
        </is>
      </c>
      <c r="C117" s="5" t="inlineStr">
        <is>
          <t>oil can 20 L</t>
        </is>
      </c>
      <c r="D117" s="5" t="inlineStr"/>
      <c r="E117" s="5" t="inlineStr">
        <is>
          <t>set</t>
        </is>
      </c>
      <c r="F117" s="6" t="n">
        <v>1</v>
      </c>
      <c r="G117" s="7" t="n"/>
      <c r="H117" s="8">
        <f>IF(G117="","",F117*G117)</f>
        <v/>
      </c>
      <c r="I117" s="9" t="n"/>
      <c r="J117" s="5" t="inlineStr">
        <is>
          <t>Sheet 1</t>
        </is>
      </c>
    </row>
    <row r="118">
      <c r="A118" s="10" t="n"/>
      <c r="B118" s="10" t="inlineStr">
        <is>
          <t>Subtotal, section H</t>
        </is>
      </c>
      <c r="C118" s="10" t="n"/>
      <c r="D118" s="10" t="n"/>
      <c r="E118" s="10" t="n"/>
      <c r="F118" s="10" t="n"/>
      <c r="G118" s="10" t="n"/>
      <c r="H118" s="11">
        <f>SUM(H112:H117)</f>
        <v/>
      </c>
      <c r="I118" s="10" t="n"/>
      <c r="J118" s="10" t="n"/>
    </row>
    <row r="120">
      <c r="B120" s="12" t="inlineStr">
        <is>
          <t>Total of all sections (ex-GST)</t>
        </is>
      </c>
      <c r="H120" s="13">
        <f>H27+H53+H64+H79+H90+H100+H109+H118</f>
        <v/>
      </c>
    </row>
    <row r="121">
      <c r="B121" s="12" t="inlineStr">
        <is>
          <t>Freight and unloading to Betalbatim</t>
        </is>
      </c>
      <c r="H121" s="14" t="n"/>
    </row>
    <row r="122">
      <c r="B122" s="12" t="inlineStr">
        <is>
          <t>Installation and connections not included above</t>
        </is>
      </c>
      <c r="H122" s="14" t="n"/>
    </row>
    <row r="123">
      <c r="B123" s="12" t="inlineStr">
        <is>
          <t>GST rate (%)</t>
        </is>
      </c>
      <c r="H123" s="14" t="n">
        <v>18</v>
      </c>
    </row>
    <row r="124">
      <c r="B124" s="12" t="inlineStr">
        <is>
          <t>GST</t>
        </is>
      </c>
      <c r="H124" s="13">
        <f>ROUND((H120+H121+H122)*H123/100,2)</f>
        <v/>
      </c>
    </row>
    <row r="125">
      <c r="B125" s="15" t="inlineStr">
        <is>
          <t>Grand total including GST</t>
        </is>
      </c>
      <c r="H125" s="16">
        <f>H120+H121+H122+H124</f>
        <v/>
      </c>
    </row>
  </sheetData>
  <mergeCells count="2">
    <mergeCell ref="A3:J3"/>
    <mergeCell ref="A2:J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17" t="inlineStr">
        <is>
          <t>How to use this BOQ</t>
        </is>
      </c>
    </row>
    <row r="2">
      <c r="A2" s="2" t="inlineStr">
        <is>
          <t>1. Send the same BOQ and the two A3 sheets to three suppliers per group: A (fabrication) to Gujarat, Mumbai and Goa fabricators; B to Goa dealers plus the brand or an online dealer; C to E to licensed contractors.</t>
        </is>
      </c>
    </row>
    <row r="3">
      <c r="A3" s="2" t="inlineStr">
        <is>
          <t>2. Suppliers enter the rate for every line (ex-GST), the make and model for section B, and remarks. A line left blank is not priced; do not compare totals until the line counts match.</t>
        </is>
      </c>
    </row>
    <row r="4">
      <c r="A4" s="2" t="inlineStr">
        <is>
          <t>3. Quantities marked "measure on site" (duct, gas pipe, drain pipe, water pipe) are estimates from the model; the contractor measures and re-prices by the metre.</t>
        </is>
      </c>
    </row>
    <row r="5">
      <c r="A5" s="2" t="inlineStr">
        <is>
          <t>4. Every quote must also state: steel grade and thickness, price ex-GST with the GST rate, delivery, installation, lead time, payment schedule, warranty and who services it in Goa, validity.</t>
        </is>
      </c>
    </row>
    <row r="6">
      <c r="A6" s="2" t="inlineStr">
        <is>
          <t>5. Concept drawings for briefing suppliers, not construction drawings.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2026-10-19T07:49:13Z</dcterms:created>
  <dcterms:modified xsi:type="dcterms:W3CDTF">2026-10-19T07:49:13Z</dcterms:modified>
</cp:coreProperties>
</file>