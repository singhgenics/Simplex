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Q" sheetId="1" state="visible" r:id="rId1"/>
    <sheet name="Notes" sheetId="2" state="visible" r:id="rId2"/>
  </sheets>
  <definedNames>
    <definedName name="_xlnm.Print_Titles" localSheetId="0">'BOQ'!$5:$5</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sz val="14"/>
    </font>
    <font>
      <b val="1"/>
      <color rgb="00FFFFFF"/>
    </font>
    <font>
      <b val="1"/>
    </font>
    <font>
      <b val="1"/>
      <sz val="13"/>
    </font>
  </fonts>
  <fills count="5">
    <fill>
      <patternFill/>
    </fill>
    <fill>
      <patternFill patternType="gray125"/>
    </fill>
    <fill>
      <patternFill patternType="solid">
        <fgColor rgb="002A2420"/>
      </patternFill>
    </fill>
    <fill>
      <patternFill patternType="solid">
        <fgColor rgb="00EFE6D3"/>
      </patternFill>
    </fill>
    <fill>
      <patternFill patternType="solid">
        <fgColor rgb="00FFF9E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center" wrapText="1"/>
    </xf>
    <xf numFmtId="0" fontId="3" fillId="3" borderId="1" pivotButton="0" quotePrefix="0" xfId="0"/>
    <xf numFmtId="0" fontId="3" fillId="3" borderId="1" applyAlignment="1" pivotButton="0" quotePrefix="0" xfId="0">
      <alignment vertical="top" wrapText="1"/>
    </xf>
    <xf numFmtId="0" fontId="0" fillId="0" borderId="1" applyAlignment="1" pivotButton="0" quotePrefix="0" xfId="0">
      <alignment vertical="top" wrapText="1"/>
    </xf>
    <xf numFmtId="164" fontId="0" fillId="0" borderId="1" applyAlignment="1" pivotButton="0" quotePrefix="0" xfId="0">
      <alignment vertical="top" wrapText="1"/>
    </xf>
    <xf numFmtId="4" fontId="0" fillId="4" borderId="1" applyAlignment="1" pivotButton="0" quotePrefix="0" xfId="0">
      <alignment vertical="top" wrapText="1"/>
    </xf>
    <xf numFmtId="4" fontId="0" fillId="0" borderId="1" applyAlignment="1" pivotButton="0" quotePrefix="0" xfId="0">
      <alignment vertical="top" wrapText="1"/>
    </xf>
    <xf numFmtId="0" fontId="0" fillId="4" borderId="1" applyAlignment="1" pivotButton="0" quotePrefix="0" xfId="0">
      <alignment vertical="top" wrapText="1"/>
    </xf>
    <xf numFmtId="0" fontId="3" fillId="0" borderId="1" pivotButton="0" quotePrefix="0" xfId="0"/>
    <xf numFmtId="4" fontId="3" fillId="0" borderId="1" pivotButton="0" quotePrefix="0" xfId="0"/>
    <xf numFmtId="0" fontId="3" fillId="0" borderId="0" pivotButton="0" quotePrefix="0" xfId="0"/>
    <xf numFmtId="4" fontId="3" fillId="0" borderId="0" pivotButton="0" quotePrefix="0" xfId="0"/>
    <xf numFmtId="4" fontId="3" fillId="4" borderId="0" pivotButton="0" quotePrefix="0" xfId="0"/>
    <xf numFmtId="0" fontId="3" fillId="3" borderId="0" pivotButton="0" quotePrefix="0" xfId="0"/>
    <xf numFmtId="4" fontId="3" fillId="3"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25"/>
  <sheetViews>
    <sheetView workbookViewId="0">
      <pane ySplit="5" topLeftCell="A6" activePane="bottomLeft" state="frozen"/>
      <selection pane="bottomLeft" activeCell="A1" sqref="A1"/>
    </sheetView>
  </sheetViews>
  <sheetFormatPr baseColWidth="8" defaultRowHeight="15"/>
  <cols>
    <col width="8" customWidth="1" min="1" max="1"/>
    <col width="78" customWidth="1" min="2" max="2"/>
    <col width="7" customWidth="1" min="3" max="3"/>
    <col width="8" customWidth="1" min="4" max="4"/>
    <col width="13" customWidth="1" min="5" max="5"/>
    <col width="15" customWidth="1" min="6" max="6"/>
    <col width="34" customWidth="1" min="7" max="7"/>
    <col width="20" customWidth="1" min="8" max="8"/>
  </cols>
  <sheetData>
    <row r="1">
      <c r="A1" s="1" t="inlineStr">
        <is>
          <t>Bill of quantities · kitchen · Betalbatim pub</t>
        </is>
      </c>
    </row>
    <row r="2" ht="30" customHeight="1">
      <c r="A2" s="2" t="inlineStr">
        <is>
          <t>Shop 4, Tulip Residency, Gandaulim, Salcete, South Goa. Kitchen 4.9 × 2.4 m, one chef and one helper. Quantities come from the model and the two A3 sheets (kitchen.html); measure on site before ordering.</t>
        </is>
      </c>
    </row>
    <row r="3" ht="30" customHeight="1">
      <c r="A3" s="2" t="inlineStr">
        <is>
          <t>Fill the yellow cells (rate, make/model, remarks). Amounts and totals calculate. Rates ex-GST, itemised; freight, installation and the GST rate go in the lines at the bottom.</t>
        </is>
      </c>
    </row>
    <row r="5">
      <c r="A5" s="3" t="inlineStr">
        <is>
          <t>Item</t>
        </is>
      </c>
      <c r="B5" s="3" t="inlineStr">
        <is>
          <t>Description and specification</t>
        </is>
      </c>
      <c r="C5" s="3" t="inlineStr">
        <is>
          <t>Unit</t>
        </is>
      </c>
      <c r="D5" s="3" t="inlineStr">
        <is>
          <t>Qty</t>
        </is>
      </c>
      <c r="E5" s="3" t="inlineStr">
        <is>
          <t>Rate (₹)</t>
        </is>
      </c>
      <c r="F5" s="3" t="inlineStr">
        <is>
          <t>Amount (₹)</t>
        </is>
      </c>
      <c r="G5" s="3" t="inlineStr">
        <is>
          <t>Make / model / remarks</t>
        </is>
      </c>
      <c r="H5" s="3" t="inlineStr">
        <is>
          <t>Drawing</t>
        </is>
      </c>
    </row>
    <row r="6">
      <c r="A6" s="4" t="inlineStr">
        <is>
          <t>A</t>
        </is>
      </c>
      <c r="B6" s="5" t="inlineStr">
        <is>
          <t>Stainless steel fabrication (SS 304 throughout). Worktops 1.2 mm or thicker, bodies 1.0 mm, legs 38 mm tube, welded and polished joints, adjustable feet. Supplier confirms or corrects the gauges.</t>
        </is>
      </c>
      <c r="C6" s="4" t="n"/>
      <c r="D6" s="4" t="n"/>
      <c r="E6" s="4" t="n"/>
      <c r="F6" s="4" t="n"/>
      <c r="G6" s="4" t="n"/>
      <c r="H6" s="4" t="n"/>
    </row>
    <row r="7">
      <c r="A7" s="6" t="inlineStr">
        <is>
          <t>A.01</t>
        </is>
      </c>
      <c r="B7" s="6" t="inlineStr">
        <is>
          <t>Non-veg prep bench 800 × 650 × 900 mm, open undershelf for the board rack, 100 mm back upstand</t>
        </is>
      </c>
      <c r="C7" s="6" t="inlineStr">
        <is>
          <t>nos</t>
        </is>
      </c>
      <c r="D7" s="7" t="n">
        <v>1</v>
      </c>
      <c r="E7" s="8" t="n"/>
      <c r="F7" s="9">
        <f>IF(E7="","",D7*E7)</f>
        <v/>
      </c>
      <c r="G7" s="10" t="n"/>
      <c r="H7" s="6" t="inlineStr">
        <is>
          <t>Sheet 1</t>
        </is>
      </c>
    </row>
    <row r="8">
      <c r="A8" s="6" t="inlineStr">
        <is>
          <t>A.02</t>
        </is>
      </c>
      <c r="B8" s="6" t="inlineStr">
        <is>
          <t>Dumpling and veg prep bench 800 × 650 × 900 mm, top over the under-counter freezer (B.07), two wall shelves over</t>
        </is>
      </c>
      <c r="C8" s="6" t="inlineStr">
        <is>
          <t>nos</t>
        </is>
      </c>
      <c r="D8" s="7" t="n">
        <v>1</v>
      </c>
      <c r="E8" s="8" t="n"/>
      <c r="F8" s="9">
        <f>IF(E8="","",D8*E8)</f>
        <v/>
      </c>
      <c r="G8" s="10" t="n"/>
      <c r="H8" s="6" t="inlineStr">
        <is>
          <t>Sheet 1</t>
        </is>
      </c>
    </row>
    <row r="9">
      <c r="A9" s="6" t="inlineStr">
        <is>
          <t>A.03</t>
        </is>
      </c>
      <c r="B9" s="6" t="inlineStr">
        <is>
          <t>Pass counter 650 × 650 × 900 mm with heat-lamp bracket and hatch ledge 700 mm through the wall</t>
        </is>
      </c>
      <c r="C9" s="6" t="inlineStr">
        <is>
          <t>nos</t>
        </is>
      </c>
      <c r="D9" s="7" t="n">
        <v>1</v>
      </c>
      <c r="E9" s="8" t="n"/>
      <c r="F9" s="9">
        <f>IF(E9="","",D9*E9)</f>
        <v/>
      </c>
      <c r="G9" s="10" t="n"/>
      <c r="H9" s="6" t="inlineStr">
        <is>
          <t>Sheet 1</t>
        </is>
      </c>
    </row>
    <row r="10">
      <c r="A10" s="6" t="inlineStr">
        <is>
          <t>A.04</t>
        </is>
      </c>
      <c r="B10" s="6" t="inlineStr">
        <is>
          <t>Dish sink, 2 bowls, 800 × 650 × 900 mm, pre-rinse spray bracket, undershelf, legs</t>
        </is>
      </c>
      <c r="C10" s="6" t="inlineStr">
        <is>
          <t>nos</t>
        </is>
      </c>
      <c r="D10" s="7" t="n">
        <v>1</v>
      </c>
      <c r="E10" s="8" t="n"/>
      <c r="F10" s="9">
        <f>IF(E10="","",D10*E10)</f>
        <v/>
      </c>
      <c r="G10" s="10" t="n"/>
      <c r="H10" s="6" t="inlineStr">
        <is>
          <t>Sheet 1</t>
        </is>
      </c>
    </row>
    <row r="11">
      <c r="A11" s="6" t="inlineStr">
        <is>
          <t>A.05</t>
        </is>
      </c>
      <c r="B11" s="6" t="inlineStr">
        <is>
          <t>Wall shelf 1,400 × 350 mm over the dish line: one plain, one slatted for bamboo steamer baskets</t>
        </is>
      </c>
      <c r="C11" s="6" t="inlineStr">
        <is>
          <t>nos</t>
        </is>
      </c>
      <c r="D11" s="7" t="n">
        <v>2</v>
      </c>
      <c r="E11" s="8" t="n"/>
      <c r="F11" s="9">
        <f>IF(E11="","",D11*E11)</f>
        <v/>
      </c>
      <c r="G11" s="10" t="n"/>
      <c r="H11" s="6" t="inlineStr">
        <is>
          <t>Sheet 1</t>
        </is>
      </c>
    </row>
    <row r="12">
      <c r="A12" s="6" t="inlineStr">
        <is>
          <t>A.06</t>
        </is>
      </c>
      <c r="B12" s="6" t="inlineStr">
        <is>
          <t>Veg and herb wash sink, single bowl, 450 × 500 × 900 mm, legs, undershelf</t>
        </is>
      </c>
      <c r="C12" s="6" t="inlineStr">
        <is>
          <t>nos</t>
        </is>
      </c>
      <c r="D12" s="7" t="n">
        <v>1</v>
      </c>
      <c r="E12" s="8" t="n"/>
      <c r="F12" s="9">
        <f>IF(E12="","",D12*E12)</f>
        <v/>
      </c>
      <c r="G12" s="10" t="n"/>
      <c r="H12" s="6" t="inlineStr">
        <is>
          <t>Sheet 1</t>
        </is>
      </c>
    </row>
    <row r="13">
      <c r="A13" s="6" t="inlineStr">
        <is>
          <t>A.07</t>
        </is>
      </c>
      <c r="B13" s="6" t="inlineStr">
        <is>
          <t>Back-up sauce and oil wall shelf 900 × 300 mm at 1.45 m</t>
        </is>
      </c>
      <c r="C13" s="6" t="inlineStr">
        <is>
          <t>nos</t>
        </is>
      </c>
      <c r="D13" s="7" t="n">
        <v>1</v>
      </c>
      <c r="E13" s="8" t="n"/>
      <c r="F13" s="9">
        <f>IF(E13="","",D13*E13)</f>
        <v/>
      </c>
      <c r="G13" s="10" t="n"/>
      <c r="H13" s="6" t="inlineStr">
        <is>
          <t>Sheet 1</t>
        </is>
      </c>
    </row>
    <row r="14">
      <c r="A14" s="6" t="inlineStr">
        <is>
          <t>A.08</t>
        </is>
      </c>
      <c r="B14" s="6" t="inlineStr">
        <is>
          <t>Wok seasoning rail 440 × 220 mm at 1.0 m with 8 lidded pots and a squeeze-bottle rack for 8 bottles</t>
        </is>
      </c>
      <c r="C14" s="6" t="inlineStr">
        <is>
          <t>set</t>
        </is>
      </c>
      <c r="D14" s="7" t="n">
        <v>1</v>
      </c>
      <c r="E14" s="8" t="n"/>
      <c r="F14" s="9">
        <f>IF(E14="","",D14*E14)</f>
        <v/>
      </c>
      <c r="G14" s="10" t="n"/>
      <c r="H14" s="6" t="inlineStr">
        <is>
          <t>Sheet 1</t>
        </is>
      </c>
    </row>
    <row r="15">
      <c r="A15" s="6" t="inlineStr">
        <is>
          <t>A.09</t>
        </is>
      </c>
      <c r="B15" s="6" t="inlineStr">
        <is>
          <t>Wok tool rail 470 mm at 1.4 m with 4 hooks</t>
        </is>
      </c>
      <c r="C15" s="6" t="inlineStr">
        <is>
          <t>nos</t>
        </is>
      </c>
      <c r="D15" s="7" t="n">
        <v>1</v>
      </c>
      <c r="E15" s="8" t="n"/>
      <c r="F15" s="9">
        <f>IF(E15="","",D15*E15)</f>
        <v/>
      </c>
      <c r="G15" s="10" t="n"/>
      <c r="H15" s="6" t="inlineStr">
        <is>
          <t>Sheet 1</t>
        </is>
      </c>
    </row>
    <row r="16">
      <c r="A16" s="6" t="inlineStr">
        <is>
          <t>A.10</t>
        </is>
      </c>
      <c r="B16" s="6" t="inlineStr">
        <is>
          <t>Chilled mise-en-place counter-top rail 760 × 260 × 220 mm for 5 pans</t>
        </is>
      </c>
      <c r="C16" s="6" t="inlineStr">
        <is>
          <t>nos</t>
        </is>
      </c>
      <c r="D16" s="7" t="n">
        <v>1</v>
      </c>
      <c r="E16" s="8" t="n"/>
      <c r="F16" s="9">
        <f>IF(E16="","",D16*E16)</f>
        <v/>
      </c>
      <c r="G16" s="10" t="n"/>
      <c r="H16" s="6" t="inlineStr">
        <is>
          <t>Sheet 1</t>
        </is>
      </c>
    </row>
    <row r="17">
      <c r="A17" s="6" t="inlineStr">
        <is>
          <t>A.11</t>
        </is>
      </c>
      <c r="B17" s="6" t="inlineStr">
        <is>
          <t>Dip and garnish rail 650 × 120 mm with 5 inserts, on the pass</t>
        </is>
      </c>
      <c r="C17" s="6" t="inlineStr">
        <is>
          <t>nos</t>
        </is>
      </c>
      <c r="D17" s="7" t="n">
        <v>1</v>
      </c>
      <c r="E17" s="8" t="n"/>
      <c r="F17" s="9">
        <f>IF(E17="","",D17*E17)</f>
        <v/>
      </c>
      <c r="G17" s="10" t="n"/>
      <c r="H17" s="6" t="inlineStr">
        <is>
          <t>Sheet 1</t>
        </is>
      </c>
    </row>
    <row r="18">
      <c r="A18" s="6" t="inlineStr">
        <is>
          <t>A.12</t>
        </is>
      </c>
      <c r="B18" s="6" t="inlineStr">
        <is>
          <t>Ticket rail 650 mm above the pass hatch</t>
        </is>
      </c>
      <c r="C18" s="6" t="inlineStr">
        <is>
          <t>nos</t>
        </is>
      </c>
      <c r="D18" s="7" t="n">
        <v>1</v>
      </c>
      <c r="E18" s="8" t="n"/>
      <c r="F18" s="9">
        <f>IF(E18="","",D18*E18)</f>
        <v/>
      </c>
      <c r="G18" s="10" t="n"/>
      <c r="H18" s="6" t="inlineStr">
        <is>
          <t>Sheet 1</t>
        </is>
      </c>
    </row>
    <row r="19">
      <c r="A19" s="6" t="inlineStr">
        <is>
          <t>A.13</t>
        </is>
      </c>
      <c r="B19" s="6" t="inlineStr">
        <is>
          <t>Magnetic knife strip 400 mm</t>
        </is>
      </c>
      <c r="C19" s="6" t="inlineStr">
        <is>
          <t>nos</t>
        </is>
      </c>
      <c r="D19" s="7" t="n">
        <v>2</v>
      </c>
      <c r="E19" s="8" t="n"/>
      <c r="F19" s="9">
        <f>IF(E19="","",D19*E19)</f>
        <v/>
      </c>
      <c r="G19" s="10" t="n"/>
      <c r="H19" s="6" t="inlineStr">
        <is>
          <t>Sheet 1</t>
        </is>
      </c>
    </row>
    <row r="20">
      <c r="A20" s="6" t="inlineStr">
        <is>
          <t>A.14</t>
        </is>
      </c>
      <c r="B20" s="6" t="inlineStr">
        <is>
          <t>Colour-coded cutting-board rack, slots for 4 boards, under the non-veg bench</t>
        </is>
      </c>
      <c r="C20" s="6" t="inlineStr">
        <is>
          <t>nos</t>
        </is>
      </c>
      <c r="D20" s="7" t="n">
        <v>1</v>
      </c>
      <c r="E20" s="8" t="n"/>
      <c r="F20" s="9">
        <f>IF(E20="","",D20*E20)</f>
        <v/>
      </c>
      <c r="G20" s="10" t="n"/>
      <c r="H20" s="6" t="inlineStr">
        <is>
          <t>Sheet 1</t>
        </is>
      </c>
    </row>
    <row r="21">
      <c r="A21" s="6" t="inlineStr">
        <is>
          <t>A.15</t>
        </is>
      </c>
      <c r="B21" s="6" t="inlineStr">
        <is>
          <t>Floor channel drain with SS grating 3,150 × 80 mm, falls to the grease trap</t>
        </is>
      </c>
      <c r="C21" s="6" t="inlineStr">
        <is>
          <t>m</t>
        </is>
      </c>
      <c r="D21" s="7" t="n">
        <v>3.15</v>
      </c>
      <c r="E21" s="8" t="n"/>
      <c r="F21" s="9">
        <f>IF(E21="","",D21*E21)</f>
        <v/>
      </c>
      <c r="G21" s="10" t="n"/>
      <c r="H21" s="6" t="inlineStr">
        <is>
          <t>Sheet 1</t>
        </is>
      </c>
    </row>
    <row r="22">
      <c r="A22" s="6" t="inlineStr">
        <is>
          <t>A.16</t>
        </is>
      </c>
      <c r="B22" s="6" t="inlineStr">
        <is>
          <t>Canopy hood 3,350 × 950 × 550 mm, bottom edge 2.05 m, baffle filters, grease cup, LED lights; 0.20 m overhang at the open end, 0.15 m over the wok range</t>
        </is>
      </c>
      <c r="C22" s="6" t="inlineStr">
        <is>
          <t>nos</t>
        </is>
      </c>
      <c r="D22" s="7" t="n">
        <v>1</v>
      </c>
      <c r="E22" s="8" t="n"/>
      <c r="F22" s="9">
        <f>IF(E22="","",D22*E22)</f>
        <v/>
      </c>
      <c r="G22" s="10" t="n"/>
      <c r="H22" s="6" t="inlineStr">
        <is>
          <t>Sheet 2</t>
        </is>
      </c>
    </row>
    <row r="23">
      <c r="A23" s="6" t="inlineStr">
        <is>
          <t>A.17</t>
        </is>
      </c>
      <c r="B23" s="6" t="inlineStr">
        <is>
          <t>Exhaust ductwork 400 × 400 mm SS at 2.35 to 2.75 m: hood collar, wall penetration, along the back wall, round the corner, to the ESP, fan and discharge; with brackets, bends and access doors</t>
        </is>
      </c>
      <c r="C23" s="6" t="inlineStr">
        <is>
          <t>m</t>
        </is>
      </c>
      <c r="D23" s="7" t="n">
        <v>5</v>
      </c>
      <c r="E23" s="8" t="n"/>
      <c r="F23" s="9">
        <f>IF(E23="","",D23*E23)</f>
        <v/>
      </c>
      <c r="G23" s="10" t="n"/>
      <c r="H23" s="6" t="inlineStr">
        <is>
          <t>Sheet 2 · measure on site</t>
        </is>
      </c>
    </row>
    <row r="24">
      <c r="A24" s="6" t="inlineStr">
        <is>
          <t>A.18</t>
        </is>
      </c>
      <c r="B24" s="6" t="inlineStr">
        <is>
          <t>Discharge elbow 400 × 400 mm at about 2.6 m pointing away from the building, with bird mesh and rain cowl</t>
        </is>
      </c>
      <c r="C24" s="6" t="inlineStr">
        <is>
          <t>nos</t>
        </is>
      </c>
      <c r="D24" s="7" t="n">
        <v>1</v>
      </c>
      <c r="E24" s="8" t="n"/>
      <c r="F24" s="9">
        <f>IF(E24="","",D24*E24)</f>
        <v/>
      </c>
      <c r="G24" s="10" t="n"/>
      <c r="H24" s="6" t="inlineStr">
        <is>
          <t>Sheet 2</t>
        </is>
      </c>
    </row>
    <row r="25">
      <c r="A25" s="6" t="inlineStr">
        <is>
          <t>A.19</t>
        </is>
      </c>
      <c r="B25" s="6" t="inlineStr">
        <is>
          <t>Storage deck racking, SS or galvanised, 3 tiers: 450 × 2,050 mm, 1,900 × 450 mm, 800 × 450 mm</t>
        </is>
      </c>
      <c r="C25" s="6" t="inlineStr">
        <is>
          <t>nos</t>
        </is>
      </c>
      <c r="D25" s="7" t="n">
        <v>3</v>
      </c>
      <c r="E25" s="8" t="n"/>
      <c r="F25" s="9">
        <f>IF(E25="","",D25*E25)</f>
        <v/>
      </c>
      <c r="G25" s="10" t="n"/>
      <c r="H25" s="6" t="inlineStr">
        <is>
          <t>Model</t>
        </is>
      </c>
    </row>
    <row r="26">
      <c r="A26" s="6" t="inlineStr">
        <is>
          <t>A.20</t>
        </is>
      </c>
      <c r="B26" s="6" t="inlineStr">
        <is>
          <t>Ceiling hatch frame 600 × 800 mm with fold-down loft ladder</t>
        </is>
      </c>
      <c r="C26" s="6" t="inlineStr">
        <is>
          <t>nos</t>
        </is>
      </c>
      <c r="D26" s="7" t="n">
        <v>1</v>
      </c>
      <c r="E26" s="8" t="n"/>
      <c r="F26" s="9">
        <f>IF(E26="","",D26*E26)</f>
        <v/>
      </c>
      <c r="G26" s="10" t="n"/>
      <c r="H26" s="6" t="inlineStr">
        <is>
          <t>Sheet 1</t>
        </is>
      </c>
    </row>
    <row r="27">
      <c r="A27" s="11" t="n"/>
      <c r="B27" s="11" t="inlineStr">
        <is>
          <t>Subtotal, section A</t>
        </is>
      </c>
      <c r="C27" s="11" t="n"/>
      <c r="D27" s="11" t="n"/>
      <c r="E27" s="11" t="n"/>
      <c r="F27" s="12">
        <f>SUM(F7:F26)</f>
        <v/>
      </c>
      <c r="G27" s="11" t="n"/>
      <c r="H27" s="11" t="n"/>
    </row>
    <row r="29">
      <c r="A29" s="4" t="inlineStr">
        <is>
          <t>B</t>
        </is>
      </c>
      <c r="B29" s="5" t="inlineStr">
        <is>
          <t>Cooking, cold and kitchen equipment (branded). State make and model, kW or litres, and who services it in Goa. Sizes are the space available; do not quote a wider unit.</t>
        </is>
      </c>
      <c r="C29" s="4" t="n"/>
      <c r="D29" s="4" t="n"/>
      <c r="E29" s="4" t="n"/>
      <c r="F29" s="4" t="n"/>
      <c r="G29" s="4" t="n"/>
      <c r="H29" s="4" t="n"/>
    </row>
    <row r="30">
      <c r="A30" s="6" t="inlineStr">
        <is>
          <t>B.01</t>
        </is>
      </c>
      <c r="B30" s="6" t="inlineStr">
        <is>
          <t>Chinese wok range, 2 burners, LPG, 1,200 × 800 × 800 mm (0.75 to 0.9 m deep acceptable, aisle is 0.95 m at the range)</t>
        </is>
      </c>
      <c r="C30" s="6" t="inlineStr">
        <is>
          <t>nos</t>
        </is>
      </c>
      <c r="D30" s="7" t="n">
        <v>1</v>
      </c>
      <c r="E30" s="8" t="n"/>
      <c r="F30" s="9">
        <f>IF(E30="","",D30*E30)</f>
        <v/>
      </c>
      <c r="G30" s="10" t="n"/>
      <c r="H30" s="6" t="inlineStr">
        <is>
          <t>Sheet 1</t>
        </is>
      </c>
    </row>
    <row r="31">
      <c r="A31" s="6" t="inlineStr">
        <is>
          <t>B.02</t>
        </is>
      </c>
      <c r="B31" s="6" t="inlineStr">
        <is>
          <t>Dim sum steamer, 2 holes, LPG, 600 × 700 × 800 mm, with water top-up</t>
        </is>
      </c>
      <c r="C31" s="6" t="inlineStr">
        <is>
          <t>nos</t>
        </is>
      </c>
      <c r="D31" s="7" t="n">
        <v>1</v>
      </c>
      <c r="E31" s="8" t="n"/>
      <c r="F31" s="9">
        <f>IF(E31="","",D31*E31)</f>
        <v/>
      </c>
      <c r="G31" s="10" t="n"/>
      <c r="H31" s="6" t="inlineStr">
        <is>
          <t>Sheet 1</t>
        </is>
      </c>
    </row>
    <row r="32">
      <c r="A32" s="6" t="inlineStr">
        <is>
          <t>B.03</t>
        </is>
      </c>
      <c r="B32" s="6" t="inlineStr">
        <is>
          <t>Twin-tank fryer, LPG, 600 × 700 × 900 mm, two tanks (veg and non-veg oil)</t>
        </is>
      </c>
      <c r="C32" s="6" t="inlineStr">
        <is>
          <t>nos</t>
        </is>
      </c>
      <c r="D32" s="7" t="n">
        <v>1</v>
      </c>
      <c r="E32" s="8" t="n"/>
      <c r="F32" s="9">
        <f>IF(E32="","",D32*E32)</f>
        <v/>
      </c>
      <c r="G32" s="10" t="n"/>
      <c r="H32" s="6" t="inlineStr">
        <is>
          <t>Sheet 1</t>
        </is>
      </c>
    </row>
    <row r="33">
      <c r="A33" s="6" t="inlineStr">
        <is>
          <t>B.04</t>
        </is>
      </c>
      <c r="B33" s="6" t="inlineStr">
        <is>
          <t>Stock range, 2 burners, LPG, 600 × 700 × 850 mm</t>
        </is>
      </c>
      <c r="C33" s="6" t="inlineStr">
        <is>
          <t>nos</t>
        </is>
      </c>
      <c r="D33" s="7" t="n">
        <v>1</v>
      </c>
      <c r="E33" s="8" t="n"/>
      <c r="F33" s="9">
        <f>IF(E33="","",D33*E33)</f>
        <v/>
      </c>
      <c r="G33" s="10" t="n"/>
      <c r="H33" s="6" t="inlineStr">
        <is>
          <t>Sheet 1</t>
        </is>
      </c>
    </row>
    <row r="34">
      <c r="A34" s="6" t="inlineStr">
        <is>
          <t>B.05</t>
        </is>
      </c>
      <c r="B34" s="6" t="inlineStr">
        <is>
          <t>Reach-in, 2 doors, dual temperature (fridge door front, freezer door back), 950 × 750 × 2,000 mm, about 800 L, doors open into the aisle; state litres of each side</t>
        </is>
      </c>
      <c r="C34" s="6" t="inlineStr">
        <is>
          <t>nos</t>
        </is>
      </c>
      <c r="D34" s="7" t="n">
        <v>1</v>
      </c>
      <c r="E34" s="8" t="n"/>
      <c r="F34" s="9">
        <f>IF(E34="","",D34*E34)</f>
        <v/>
      </c>
      <c r="G34" s="10" t="n"/>
      <c r="H34" s="6" t="inlineStr">
        <is>
          <t>Sheet 1</t>
        </is>
      </c>
    </row>
    <row r="35">
      <c r="A35" s="6" t="inlineStr">
        <is>
          <t>B.06</t>
        </is>
      </c>
      <c r="B35" s="6" t="inlineStr">
        <is>
          <t>Under-counter fridge for the pass, about 600 × 550 × 700 mm; state litres</t>
        </is>
      </c>
      <c r="C35" s="6" t="inlineStr">
        <is>
          <t>nos</t>
        </is>
      </c>
      <c r="D35" s="7" t="n">
        <v>1</v>
      </c>
      <c r="E35" s="8" t="n"/>
      <c r="F35" s="9">
        <f>IF(E35="","",D35*E35)</f>
        <v/>
      </c>
      <c r="G35" s="10" t="n"/>
      <c r="H35" s="6" t="inlineStr">
        <is>
          <t>Sheet 1</t>
        </is>
      </c>
    </row>
    <row r="36">
      <c r="A36" s="6" t="inlineStr">
        <is>
          <t>B.07</t>
        </is>
      </c>
      <c r="B36" s="6" t="inlineStr">
        <is>
          <t>Under-counter freezer, 2 doors, to fit under the 800 × 650 mm bench; state litres (target about 650 L of freezer in all)</t>
        </is>
      </c>
      <c r="C36" s="6" t="inlineStr">
        <is>
          <t>nos</t>
        </is>
      </c>
      <c r="D36" s="7" t="n">
        <v>1</v>
      </c>
      <c r="E36" s="8" t="n"/>
      <c r="F36" s="9">
        <f>IF(E36="","",D36*E36)</f>
        <v/>
      </c>
      <c r="G36" s="10" t="n"/>
      <c r="H36" s="6" t="inlineStr">
        <is>
          <t>Sheet 1</t>
        </is>
      </c>
    </row>
    <row r="37">
      <c r="A37" s="6" t="inlineStr">
        <is>
          <t>B.08</t>
        </is>
      </c>
      <c r="B37" s="6" t="inlineStr">
        <is>
          <t>Under-counter dishwasher 600 × 650 × 900 mm with drainboard and its own booster heater</t>
        </is>
      </c>
      <c r="C37" s="6" t="inlineStr">
        <is>
          <t>nos</t>
        </is>
      </c>
      <c r="D37" s="7" t="n">
        <v>1</v>
      </c>
      <c r="E37" s="8" t="n"/>
      <c r="F37" s="9">
        <f>IF(E37="","",D37*E37)</f>
        <v/>
      </c>
      <c r="G37" s="10" t="n"/>
      <c r="H37" s="6" t="inlineStr">
        <is>
          <t>Sheet 1</t>
        </is>
      </c>
    </row>
    <row r="38">
      <c r="A38" s="6" t="inlineStr">
        <is>
          <t>B.09</t>
        </is>
      </c>
      <c r="B38" s="6" t="inlineStr">
        <is>
          <t>Rice cooker, 5 L (jasmine, sticky)</t>
        </is>
      </c>
      <c r="C38" s="6" t="inlineStr">
        <is>
          <t>nos</t>
        </is>
      </c>
      <c r="D38" s="7" t="n">
        <v>2</v>
      </c>
      <c r="E38" s="8" t="n"/>
      <c r="F38" s="9">
        <f>IF(E38="","",D38*E38)</f>
        <v/>
      </c>
      <c r="G38" s="10" t="n"/>
      <c r="H38" s="6" t="inlineStr">
        <is>
          <t>Sheet 1</t>
        </is>
      </c>
    </row>
    <row r="39">
      <c r="A39" s="6" t="inlineStr">
        <is>
          <t>B.10</t>
        </is>
      </c>
      <c r="B39" s="6" t="inlineStr">
        <is>
          <t>Mixer-grinder, commercial</t>
        </is>
      </c>
      <c r="C39" s="6" t="inlineStr">
        <is>
          <t>nos</t>
        </is>
      </c>
      <c r="D39" s="7" t="n">
        <v>1</v>
      </c>
      <c r="E39" s="8" t="n"/>
      <c r="F39" s="9">
        <f>IF(E39="","",D39*E39)</f>
        <v/>
      </c>
      <c r="G39" s="10" t="n"/>
      <c r="H39" s="6" t="inlineStr">
        <is>
          <t>Sheet 1</t>
        </is>
      </c>
    </row>
    <row r="40">
      <c r="A40" s="6" t="inlineStr">
        <is>
          <t>B.11</t>
        </is>
      </c>
      <c r="B40" s="6" t="inlineStr">
        <is>
          <t>Kitchen blowtorch</t>
        </is>
      </c>
      <c r="C40" s="6" t="inlineStr">
        <is>
          <t>nos</t>
        </is>
      </c>
      <c r="D40" s="7" t="n">
        <v>1</v>
      </c>
      <c r="E40" s="8" t="n"/>
      <c r="F40" s="9">
        <f>IF(E40="","",D40*E40)</f>
        <v/>
      </c>
      <c r="G40" s="10" t="n"/>
      <c r="H40" s="6" t="inlineStr">
        <is>
          <t>Sheet 1</t>
        </is>
      </c>
    </row>
    <row r="41">
      <c r="A41" s="6" t="inlineStr">
        <is>
          <t>B.12</t>
        </is>
      </c>
      <c r="B41" s="6" t="inlineStr">
        <is>
          <t>Storage water heater 35 L, 3 kW, 70 °C, high on the left wall over the dish line</t>
        </is>
      </c>
      <c r="C41" s="6" t="inlineStr">
        <is>
          <t>nos</t>
        </is>
      </c>
      <c r="D41" s="7" t="n">
        <v>1</v>
      </c>
      <c r="E41" s="8" t="n"/>
      <c r="F41" s="9">
        <f>IF(E41="","",D41*E41)</f>
        <v/>
      </c>
      <c r="G41" s="10" t="n"/>
      <c r="H41" s="6" t="inlineStr">
        <is>
          <t>Sheet 2</t>
        </is>
      </c>
    </row>
    <row r="42">
      <c r="A42" s="6" t="inlineStr">
        <is>
          <t>B.13</t>
        </is>
      </c>
      <c r="B42" s="6" t="inlineStr">
        <is>
          <t>Water heater 6 L for a hand-wash basin</t>
        </is>
      </c>
      <c r="C42" s="6" t="inlineStr">
        <is>
          <t>nos</t>
        </is>
      </c>
      <c r="D42" s="7" t="n">
        <v>2</v>
      </c>
      <c r="E42" s="8" t="n"/>
      <c r="F42" s="9">
        <f>IF(E42="","",D42*E42)</f>
        <v/>
      </c>
      <c r="G42" s="10" t="n"/>
      <c r="H42" s="6" t="inlineStr">
        <is>
          <t>Sheet 2</t>
        </is>
      </c>
    </row>
    <row r="43">
      <c r="A43" s="6" t="inlineStr">
        <is>
          <t>B.14</t>
        </is>
      </c>
      <c r="B43" s="6" t="inlineStr">
        <is>
          <t>Insect killer 500 × 180 mm over the kitchen door</t>
        </is>
      </c>
      <c r="C43" s="6" t="inlineStr">
        <is>
          <t>nos</t>
        </is>
      </c>
      <c r="D43" s="7" t="n">
        <v>1</v>
      </c>
      <c r="E43" s="8" t="n"/>
      <c r="F43" s="9">
        <f>IF(E43="","",D43*E43)</f>
        <v/>
      </c>
      <c r="G43" s="10" t="n"/>
      <c r="H43" s="6" t="inlineStr">
        <is>
          <t>Sheet 1</t>
        </is>
      </c>
    </row>
    <row r="44">
      <c r="A44" s="6" t="inlineStr">
        <is>
          <t>B.15</t>
        </is>
      </c>
      <c r="B44" s="6" t="inlineStr">
        <is>
          <t>Heat lamp over the pass, on its own switch</t>
        </is>
      </c>
      <c r="C44" s="6" t="inlineStr">
        <is>
          <t>nos</t>
        </is>
      </c>
      <c r="D44" s="7" t="n">
        <v>2</v>
      </c>
      <c r="E44" s="8" t="n"/>
      <c r="F44" s="9">
        <f>IF(E44="","",D44*E44)</f>
        <v/>
      </c>
      <c r="G44" s="10" t="n"/>
      <c r="H44" s="6" t="inlineStr">
        <is>
          <t>Sheet 1</t>
        </is>
      </c>
    </row>
    <row r="45">
      <c r="A45" s="6" t="inlineStr">
        <is>
          <t>B.16</t>
        </is>
      </c>
      <c r="B45" s="6" t="inlineStr">
        <is>
          <t>Electrostatic precipitator with carbon odour filter, about 500 × 1,000 × 900 mm, at 2.05 to 2.95 m outside</t>
        </is>
      </c>
      <c r="C45" s="6" t="inlineStr">
        <is>
          <t>nos</t>
        </is>
      </c>
      <c r="D45" s="7" t="n">
        <v>1</v>
      </c>
      <c r="E45" s="8" t="n"/>
      <c r="F45" s="9">
        <f>IF(E45="","",D45*E45)</f>
        <v/>
      </c>
      <c r="G45" s="10" t="n"/>
      <c r="H45" s="6" t="inlineStr">
        <is>
          <t>Sheet 2</t>
        </is>
      </c>
    </row>
    <row r="46">
      <c r="A46" s="6" t="inlineStr">
        <is>
          <t>B.17</t>
        </is>
      </c>
      <c r="B46" s="6" t="inlineStr">
        <is>
          <t>Inline exhaust fan Ø 440 mm, 4,000 to 5,000 m³/h, on anti-vibration mounts, with speed control</t>
        </is>
      </c>
      <c r="C46" s="6" t="inlineStr">
        <is>
          <t>nos</t>
        </is>
      </c>
      <c r="D46" s="7" t="n">
        <v>1</v>
      </c>
      <c r="E46" s="8" t="n"/>
      <c r="F46" s="9">
        <f>IF(E46="","",D46*E46)</f>
        <v/>
      </c>
      <c r="G46" s="10" t="n"/>
      <c r="H46" s="6" t="inlineStr">
        <is>
          <t>Sheet 2</t>
        </is>
      </c>
    </row>
    <row r="47">
      <c r="A47" s="6" t="inlineStr">
        <is>
          <t>B.18</t>
        </is>
      </c>
      <c r="B47" s="6" t="inlineStr">
        <is>
          <t>Fresh-air intake fan 500 × 480 mm, high on the back wall, interlocked with the exhaust</t>
        </is>
      </c>
      <c r="C47" s="6" t="inlineStr">
        <is>
          <t>nos</t>
        </is>
      </c>
      <c r="D47" s="7" t="n">
        <v>1</v>
      </c>
      <c r="E47" s="8" t="n"/>
      <c r="F47" s="9">
        <f>IF(E47="","",D47*E47)</f>
        <v/>
      </c>
      <c r="G47" s="10" t="n"/>
      <c r="H47" s="6" t="inlineStr">
        <is>
          <t>Sheet 2</t>
        </is>
      </c>
    </row>
    <row r="48">
      <c r="A48" s="6" t="inlineStr">
        <is>
          <t>B.19</t>
        </is>
      </c>
      <c r="B48" s="6" t="inlineStr">
        <is>
          <t>Make-up air diffuser, perforated, low velocity, 600 × 500 mm, in the kitchen ceiling</t>
        </is>
      </c>
      <c r="C48" s="6" t="inlineStr">
        <is>
          <t>nos</t>
        </is>
      </c>
      <c r="D48" s="7" t="n">
        <v>2</v>
      </c>
      <c r="E48" s="8" t="n"/>
      <c r="F48" s="9">
        <f>IF(E48="","",D48*E48)</f>
        <v/>
      </c>
      <c r="G48" s="10" t="n"/>
      <c r="H48" s="6" t="inlineStr">
        <is>
          <t>Sheet 2</t>
        </is>
      </c>
    </row>
    <row r="49">
      <c r="A49" s="6" t="inlineStr">
        <is>
          <t>B.20</t>
        </is>
      </c>
      <c r="B49" s="6" t="inlineStr">
        <is>
          <t>Make-up air cooling coil 1.5 TR with condenser unit on the right side wall at about 3.0 m</t>
        </is>
      </c>
      <c r="C49" s="6" t="inlineStr">
        <is>
          <t>set</t>
        </is>
      </c>
      <c r="D49" s="7" t="n">
        <v>1</v>
      </c>
      <c r="E49" s="8" t="n"/>
      <c r="F49" s="9">
        <f>IF(E49="","",D49*E49)</f>
        <v/>
      </c>
      <c r="G49" s="10" t="n"/>
      <c r="H49" s="6" t="inlineStr">
        <is>
          <t>Sheet 2</t>
        </is>
      </c>
    </row>
    <row r="50">
      <c r="A50" s="6" t="inlineStr">
        <is>
          <t>B.21</t>
        </is>
      </c>
      <c r="B50" s="6" t="inlineStr">
        <is>
          <t>Goods hoist, electric, 200 kg, over the ceiling hatch, with limit switch</t>
        </is>
      </c>
      <c r="C50" s="6" t="inlineStr">
        <is>
          <t>nos</t>
        </is>
      </c>
      <c r="D50" s="7" t="n">
        <v>1</v>
      </c>
      <c r="E50" s="8" t="n"/>
      <c r="F50" s="9">
        <f>IF(E50="","",D50*E50)</f>
        <v/>
      </c>
      <c r="G50" s="10" t="n"/>
      <c r="H50" s="6" t="inlineStr">
        <is>
          <t>Sheet 2</t>
        </is>
      </c>
    </row>
    <row r="51">
      <c r="A51" s="6" t="inlineStr">
        <is>
          <t>B.22</t>
        </is>
      </c>
      <c r="B51" s="6" t="inlineStr">
        <is>
          <t>Smallware, to the chef's list: carbon-steel woks, ladle, spatula, spider, wok brush, pans, food pans, knives, boards, stone mortar</t>
        </is>
      </c>
      <c r="C51" s="6" t="inlineStr">
        <is>
          <t>lot</t>
        </is>
      </c>
      <c r="D51" s="7" t="n">
        <v>1</v>
      </c>
      <c r="E51" s="8" t="n"/>
      <c r="F51" s="9">
        <f>IF(E51="","",D51*E51)</f>
        <v/>
      </c>
      <c r="G51" s="10" t="n"/>
      <c r="H51" s="6" t="inlineStr">
        <is>
          <t>Chef</t>
        </is>
      </c>
    </row>
    <row r="52">
      <c r="A52" s="6" t="inlineStr">
        <is>
          <t>B.23</t>
        </is>
      </c>
      <c r="B52" s="6" t="inlineStr">
        <is>
          <t>Bamboo steamer stacks (3 baskets and a lid), Ø 260 mm, for the drying shelf (the steamer comes with its own baskets, B.02)</t>
        </is>
      </c>
      <c r="C52" s="6" t="inlineStr">
        <is>
          <t>nos</t>
        </is>
      </c>
      <c r="D52" s="7" t="n">
        <v>3</v>
      </c>
      <c r="E52" s="8" t="n"/>
      <c r="F52" s="9">
        <f>IF(E52="","",D52*E52)</f>
        <v/>
      </c>
      <c r="G52" s="10" t="n"/>
      <c r="H52" s="6" t="inlineStr">
        <is>
          <t>Sheet 1</t>
        </is>
      </c>
    </row>
    <row r="53">
      <c r="A53" s="11" t="n"/>
      <c r="B53" s="11" t="inlineStr">
        <is>
          <t>Subtotal, section B</t>
        </is>
      </c>
      <c r="C53" s="11" t="n"/>
      <c r="D53" s="11" t="n"/>
      <c r="E53" s="11" t="n"/>
      <c r="F53" s="12">
        <f>SUM(F30:F52)</f>
        <v/>
      </c>
      <c r="G53" s="11" t="n"/>
      <c r="H53" s="11" t="n"/>
    </row>
    <row r="55">
      <c r="A55" s="4" t="inlineStr">
        <is>
          <t>C</t>
        </is>
      </c>
      <c r="B55" s="5" t="inlineStr">
        <is>
          <t>Gas installation (licensed contractor, for the fire NOC). Pressure test and a written certificate are part of the work.</t>
        </is>
      </c>
      <c r="C55" s="4" t="n"/>
      <c r="D55" s="4" t="n"/>
      <c r="E55" s="4" t="n"/>
      <c r="F55" s="4" t="n"/>
      <c r="G55" s="4" t="n"/>
      <c r="H55" s="4" t="n"/>
    </row>
    <row r="56">
      <c r="A56" s="6" t="inlineStr">
        <is>
          <t>C.01</t>
        </is>
      </c>
      <c r="B56" s="6" t="inlineStr">
        <is>
          <t>LPG cage, locked and ventilated, 350 × 1,700 × 1,600 mm, on the right strip</t>
        </is>
      </c>
      <c r="C56" s="6" t="inlineStr">
        <is>
          <t>nos</t>
        </is>
      </c>
      <c r="D56" s="7" t="n">
        <v>1</v>
      </c>
      <c r="E56" s="8" t="n"/>
      <c r="F56" s="9">
        <f>IF(E56="","",D56*E56)</f>
        <v/>
      </c>
      <c r="G56" s="10" t="n"/>
      <c r="H56" s="6" t="inlineStr">
        <is>
          <t>Sheet 2</t>
        </is>
      </c>
    </row>
    <row r="57">
      <c r="A57" s="6" t="inlineStr">
        <is>
          <t>C.02</t>
        </is>
      </c>
      <c r="B57" s="6" t="inlineStr">
        <is>
          <t>LPG cylinders 19 kg with changeover manifold and regulator (4 on line and 1 spare, 95 kg in all)</t>
        </is>
      </c>
      <c r="C57" s="6" t="inlineStr">
        <is>
          <t>nos</t>
        </is>
      </c>
      <c r="D57" s="7" t="n">
        <v>5</v>
      </c>
      <c r="E57" s="8" t="n"/>
      <c r="F57" s="9">
        <f>IF(E57="","",D57*E57)</f>
        <v/>
      </c>
      <c r="G57" s="10" t="n"/>
      <c r="H57" s="6" t="inlineStr">
        <is>
          <t>Sheet 2</t>
        </is>
      </c>
    </row>
    <row r="58">
      <c r="A58" s="6" t="inlineStr">
        <is>
          <t>C.03</t>
        </is>
      </c>
      <c r="B58" s="6" t="inlineStr">
        <is>
          <t>Copper pipe with clamps and sleeves: along the right outside wall at 1.3 m, into the kitchen at the back corner, drop to the manifold at 0.4 m, along the back of the hot line (size by the contractor from the burner kW)</t>
        </is>
      </c>
      <c r="C58" s="6" t="inlineStr">
        <is>
          <t>m</t>
        </is>
      </c>
      <c r="D58" s="7" t="n">
        <v>9</v>
      </c>
      <c r="E58" s="8" t="n"/>
      <c r="F58" s="9">
        <f>IF(E58="","",D58*E58)</f>
        <v/>
      </c>
      <c r="G58" s="10" t="n"/>
      <c r="H58" s="6" t="inlineStr">
        <is>
          <t>Sheet 2 · measure on site</t>
        </is>
      </c>
    </row>
    <row r="59">
      <c r="A59" s="6" t="inlineStr">
        <is>
          <t>C.04</t>
        </is>
      </c>
      <c r="B59" s="6" t="inlineStr">
        <is>
          <t>Gas solenoid valve, weatherproof, outside on the entry; closes with the exhaust fan or the hood suppression</t>
        </is>
      </c>
      <c r="C59" s="6" t="inlineStr">
        <is>
          <t>nos</t>
        </is>
      </c>
      <c r="D59" s="7" t="n">
        <v>1</v>
      </c>
      <c r="E59" s="8" t="n"/>
      <c r="F59" s="9">
        <f>IF(E59="","",D59*E59)</f>
        <v/>
      </c>
      <c r="G59" s="10" t="n"/>
      <c r="H59" s="6" t="inlineStr">
        <is>
          <t>Sheet 2</t>
        </is>
      </c>
    </row>
    <row r="60">
      <c r="A60" s="6" t="inlineStr">
        <is>
          <t>C.05</t>
        </is>
      </c>
      <c r="B60" s="6" t="inlineStr">
        <is>
          <t>Ball valve, one per appliance, on the manifold</t>
        </is>
      </c>
      <c r="C60" s="6" t="inlineStr">
        <is>
          <t>nos</t>
        </is>
      </c>
      <c r="D60" s="7" t="n">
        <v>6</v>
      </c>
      <c r="E60" s="8" t="n"/>
      <c r="F60" s="9">
        <f>IF(E60="","",D60*E60)</f>
        <v/>
      </c>
      <c r="G60" s="10" t="n"/>
      <c r="H60" s="6" t="inlineStr">
        <is>
          <t>Sheet 2</t>
        </is>
      </c>
    </row>
    <row r="61">
      <c r="A61" s="6" t="inlineStr">
        <is>
          <t>C.06</t>
        </is>
      </c>
      <c r="B61" s="6" t="inlineStr">
        <is>
          <t>Flexible gas hose, certified, one per appliance</t>
        </is>
      </c>
      <c r="C61" s="6" t="inlineStr">
        <is>
          <t>nos</t>
        </is>
      </c>
      <c r="D61" s="7" t="n">
        <v>6</v>
      </c>
      <c r="E61" s="8" t="n"/>
      <c r="F61" s="9">
        <f>IF(E61="","",D61*E61)</f>
        <v/>
      </c>
      <c r="G61" s="10" t="n"/>
      <c r="H61" s="6" t="inlineStr">
        <is>
          <t>Sheet 2</t>
        </is>
      </c>
    </row>
    <row r="62">
      <c r="A62" s="6" t="inlineStr">
        <is>
          <t>C.07</t>
        </is>
      </c>
      <c r="B62" s="6" t="inlineStr">
        <is>
          <t>LPG leak detector with cut-off signal, low on the right wall</t>
        </is>
      </c>
      <c r="C62" s="6" t="inlineStr">
        <is>
          <t>nos</t>
        </is>
      </c>
      <c r="D62" s="7" t="n">
        <v>1</v>
      </c>
      <c r="E62" s="8" t="n"/>
      <c r="F62" s="9">
        <f>IF(E62="","",D62*E62)</f>
        <v/>
      </c>
      <c r="G62" s="10" t="n"/>
      <c r="H62" s="6" t="inlineStr">
        <is>
          <t>Sheet 2</t>
        </is>
      </c>
    </row>
    <row r="63">
      <c r="A63" s="6" t="inlineStr">
        <is>
          <t>C.08</t>
        </is>
      </c>
      <c r="B63" s="6" t="inlineStr">
        <is>
          <t>Pressure test, commissioning and certificate</t>
        </is>
      </c>
      <c r="C63" s="6" t="inlineStr">
        <is>
          <t>lot</t>
        </is>
      </c>
      <c r="D63" s="7" t="n">
        <v>1</v>
      </c>
      <c r="E63" s="8" t="n"/>
      <c r="F63" s="9">
        <f>IF(E63="","",D63*E63)</f>
        <v/>
      </c>
      <c r="G63" s="10" t="n"/>
      <c r="H63" s="6" t="inlineStr"/>
    </row>
    <row r="64">
      <c r="A64" s="11" t="n"/>
      <c r="B64" s="11" t="inlineStr">
        <is>
          <t>Subtotal, section C</t>
        </is>
      </c>
      <c r="C64" s="11" t="n"/>
      <c r="D64" s="11" t="n"/>
      <c r="E64" s="11" t="n"/>
      <c r="F64" s="12">
        <f>SUM(F56:F63)</f>
        <v/>
      </c>
      <c r="G64" s="11" t="n"/>
      <c r="H64" s="11" t="n"/>
    </row>
    <row r="66">
      <c r="A66" s="4" t="inlineStr">
        <is>
          <t>D</t>
        </is>
      </c>
      <c r="B66" s="5" t="inlineStr">
        <is>
          <t>Plumbing and drainage. Sizes and fittings by the plumber. All kitchen drains go to the grease trap, then the grey-water line (never the biodigester).</t>
        </is>
      </c>
      <c r="C66" s="4" t="n"/>
      <c r="D66" s="4" t="n"/>
      <c r="E66" s="4" t="n"/>
      <c r="F66" s="4" t="n"/>
      <c r="G66" s="4" t="n"/>
      <c r="H66" s="4" t="n"/>
    </row>
    <row r="67">
      <c r="A67" s="6" t="inlineStr">
        <is>
          <t>D.01</t>
        </is>
      </c>
      <c r="B67" s="6" t="inlineStr">
        <is>
          <t>Water sump, buried, 1,000 L, 1.3 × 1.0 × 0.8 m, with lid and tanker inlet, under the garden</t>
        </is>
      </c>
      <c r="C67" s="6" t="inlineStr">
        <is>
          <t>nos</t>
        </is>
      </c>
      <c r="D67" s="7" t="n">
        <v>1</v>
      </c>
      <c r="E67" s="8" t="n"/>
      <c r="F67" s="9">
        <f>IF(E67="","",D67*E67)</f>
        <v/>
      </c>
      <c r="G67" s="10" t="n"/>
      <c r="H67" s="6" t="inlineStr">
        <is>
          <t>Plan</t>
        </is>
      </c>
    </row>
    <row r="68">
      <c r="A68" s="6" t="inlineStr">
        <is>
          <t>D.02</t>
        </is>
      </c>
      <c r="B68" s="6" t="inlineStr">
        <is>
          <t>Pressure pump set 0.5 HP, with sediment filter and softener, in the right-hand water cabinet 450 × 800 × 1,500 mm</t>
        </is>
      </c>
      <c r="C68" s="6" t="inlineStr">
        <is>
          <t>set</t>
        </is>
      </c>
      <c r="D68" s="7" t="n">
        <v>1</v>
      </c>
      <c r="E68" s="8" t="n"/>
      <c r="F68" s="9">
        <f>IF(E68="","",D68*E68)</f>
        <v/>
      </c>
      <c r="G68" s="10" t="n"/>
      <c r="H68" s="6" t="inlineStr">
        <is>
          <t>Sheet 2</t>
        </is>
      </c>
    </row>
    <row r="69">
      <c r="A69" s="6" t="inlineStr">
        <is>
          <t>D.03</t>
        </is>
      </c>
      <c r="B69" s="6" t="inlineStr">
        <is>
          <t>Water cabinet, 450 × 800 × 1,500 mm, ventilated, on the right strip (the fabrication is part of the cabinet item)</t>
        </is>
      </c>
      <c r="C69" s="6" t="inlineStr">
        <is>
          <t>nos</t>
        </is>
      </c>
      <c r="D69" s="7" t="n">
        <v>1</v>
      </c>
      <c r="E69" s="8" t="n"/>
      <c r="F69" s="9">
        <f>IF(E69="","",D69*E69)</f>
        <v/>
      </c>
      <c r="G69" s="10" t="n"/>
      <c r="H69" s="6" t="inlineStr">
        <is>
          <t>Sheet 2</t>
        </is>
      </c>
    </row>
    <row r="70">
      <c r="A70" s="6" t="inlineStr">
        <is>
          <t>D.04</t>
        </is>
      </c>
      <c r="B70" s="6" t="inlineStr">
        <is>
          <t>Cold and hot water pipe (CPVC or PPR) with fittings and isolation valves: cabinet to the kitchen along the strip and the hot-water run to the sink and dishwasher</t>
        </is>
      </c>
      <c r="C70" s="6" t="inlineStr">
        <is>
          <t>lot</t>
        </is>
      </c>
      <c r="D70" s="7" t="n">
        <v>1</v>
      </c>
      <c r="E70" s="8" t="n"/>
      <c r="F70" s="9">
        <f>IF(E70="","",D70*E70)</f>
        <v/>
      </c>
      <c r="G70" s="10" t="n"/>
      <c r="H70" s="6" t="inlineStr">
        <is>
          <t>Sheet 2 · about 20 m</t>
        </is>
      </c>
    </row>
    <row r="71">
      <c r="A71" s="6" t="inlineStr">
        <is>
          <t>D.05</t>
        </is>
      </c>
      <c r="B71" s="6" t="inlineStr">
        <is>
          <t>Hand-wash basin, wall-mounted, hands-free tap, soap dispenser: 330 × 400 mm at the door and 250 × 250 mm at the prep corner</t>
        </is>
      </c>
      <c r="C71" s="6" t="inlineStr">
        <is>
          <t>nos</t>
        </is>
      </c>
      <c r="D71" s="7" t="n">
        <v>2</v>
      </c>
      <c r="E71" s="8" t="n"/>
      <c r="F71" s="9">
        <f>IF(E71="","",D71*E71)</f>
        <v/>
      </c>
      <c r="G71" s="10" t="n"/>
      <c r="H71" s="6" t="inlineStr">
        <is>
          <t>Sheet 1</t>
        </is>
      </c>
    </row>
    <row r="72">
      <c r="A72" s="6" t="inlineStr">
        <is>
          <t>D.06</t>
        </is>
      </c>
      <c r="B72" s="6" t="inlineStr">
        <is>
          <t>Tall swan-neck wok tap, wall-mounted, at the wok range</t>
        </is>
      </c>
      <c r="C72" s="6" t="inlineStr">
        <is>
          <t>nos</t>
        </is>
      </c>
      <c r="D72" s="7" t="n">
        <v>1</v>
      </c>
      <c r="E72" s="8" t="n"/>
      <c r="F72" s="9">
        <f>IF(E72="","",D72*E72)</f>
        <v/>
      </c>
      <c r="G72" s="10" t="n"/>
      <c r="H72" s="6" t="inlineStr">
        <is>
          <t>Sheet 2</t>
        </is>
      </c>
    </row>
    <row r="73">
      <c r="A73" s="6" t="inlineStr">
        <is>
          <t>D.07</t>
        </is>
      </c>
      <c r="B73" s="6" t="inlineStr">
        <is>
          <t>Tall mixer tap for the veg sink; sink mixer tap with pre-rinse spray for the dish sink</t>
        </is>
      </c>
      <c r="C73" s="6" t="inlineStr">
        <is>
          <t>set</t>
        </is>
      </c>
      <c r="D73" s="7" t="n">
        <v>1</v>
      </c>
      <c r="E73" s="8" t="n"/>
      <c r="F73" s="9">
        <f>IF(E73="","",D73*E73)</f>
        <v/>
      </c>
      <c r="G73" s="10" t="n"/>
      <c r="H73" s="6" t="inlineStr">
        <is>
          <t>Sheet 2</t>
        </is>
      </c>
    </row>
    <row r="74">
      <c r="A74" s="6" t="inlineStr">
        <is>
          <t>D.08</t>
        </is>
      </c>
      <c r="B74" s="6" t="inlineStr">
        <is>
          <t>Pot filler, wall-mounted swing arm, cold, over the stock range</t>
        </is>
      </c>
      <c r="C74" s="6" t="inlineStr">
        <is>
          <t>nos</t>
        </is>
      </c>
      <c r="D74" s="7" t="n">
        <v>1</v>
      </c>
      <c r="E74" s="8" t="n"/>
      <c r="F74" s="9">
        <f>IF(E74="","",D74*E74)</f>
        <v/>
      </c>
      <c r="G74" s="10" t="n"/>
      <c r="H74" s="6" t="inlineStr">
        <is>
          <t>Sheet 2</t>
        </is>
      </c>
    </row>
    <row r="75">
      <c r="A75" s="6" t="inlineStr">
        <is>
          <t>D.09</t>
        </is>
      </c>
      <c r="B75" s="6" t="inlineStr">
        <is>
          <t>Steamer water feed with isolation valve at the back wall</t>
        </is>
      </c>
      <c r="C75" s="6" t="inlineStr">
        <is>
          <t>nos</t>
        </is>
      </c>
      <c r="D75" s="7" t="n">
        <v>1</v>
      </c>
      <c r="E75" s="8" t="n"/>
      <c r="F75" s="9">
        <f>IF(E75="","",D75*E75)</f>
        <v/>
      </c>
      <c r="G75" s="10" t="n"/>
      <c r="H75" s="6" t="inlineStr">
        <is>
          <t>Sheet 2</t>
        </is>
      </c>
    </row>
    <row r="76">
      <c r="A76" s="6" t="inlineStr">
        <is>
          <t>D.10</t>
        </is>
      </c>
      <c r="B76" s="6" t="inlineStr">
        <is>
          <t>Grease trap 450 × 450 mm, outside back corner, with cover</t>
        </is>
      </c>
      <c r="C76" s="6" t="inlineStr">
        <is>
          <t>nos</t>
        </is>
      </c>
      <c r="D76" s="7" t="n">
        <v>1</v>
      </c>
      <c r="E76" s="8" t="n"/>
      <c r="F76" s="9">
        <f>IF(E76="","",D76*E76)</f>
        <v/>
      </c>
      <c r="G76" s="10" t="n"/>
      <c r="H76" s="6" t="inlineStr">
        <is>
          <t>Sheet 2</t>
        </is>
      </c>
    </row>
    <row r="77">
      <c r="A77" s="6" t="inlineStr">
        <is>
          <t>D.11</t>
        </is>
      </c>
      <c r="B77" s="6" t="inlineStr">
        <is>
          <t>Drain pipe uPVC 100 mm with fittings: floor channel, sinks, hand-wash basins and dishwasher to the grease trap and grey-water line</t>
        </is>
      </c>
      <c r="C77" s="6" t="inlineStr">
        <is>
          <t>m</t>
        </is>
      </c>
      <c r="D77" s="7" t="n">
        <v>12</v>
      </c>
      <c r="E77" s="8" t="n"/>
      <c r="F77" s="9">
        <f>IF(E77="","",D77*E77)</f>
        <v/>
      </c>
      <c r="G77" s="10" t="n"/>
      <c r="H77" s="6" t="inlineStr">
        <is>
          <t>Sheet 2 · measure on site</t>
        </is>
      </c>
    </row>
    <row r="78">
      <c r="A78" s="6" t="inlineStr">
        <is>
          <t>D.12</t>
        </is>
      </c>
      <c r="B78" s="6" t="inlineStr">
        <is>
          <t>Floor trap with grating, SS</t>
        </is>
      </c>
      <c r="C78" s="6" t="inlineStr">
        <is>
          <t>nos</t>
        </is>
      </c>
      <c r="D78" s="7" t="n">
        <v>2</v>
      </c>
      <c r="E78" s="8" t="n"/>
      <c r="F78" s="9">
        <f>IF(E78="","",D78*E78)</f>
        <v/>
      </c>
      <c r="G78" s="10" t="n"/>
      <c r="H78" s="6" t="inlineStr">
        <is>
          <t>Sheet 2</t>
        </is>
      </c>
    </row>
    <row r="79">
      <c r="A79" s="11" t="n"/>
      <c r="B79" s="11" t="inlineStr">
        <is>
          <t>Subtotal, section D</t>
        </is>
      </c>
      <c r="C79" s="11" t="n"/>
      <c r="D79" s="11" t="n"/>
      <c r="E79" s="11" t="n"/>
      <c r="F79" s="12">
        <f>SUM(F67:F78)</f>
        <v/>
      </c>
      <c r="G79" s="11" t="n"/>
      <c r="H79" s="11" t="n"/>
    </row>
    <row r="81">
      <c r="A81" s="4" t="inlineStr">
        <is>
          <t>E</t>
        </is>
      </c>
      <c r="B81" s="5" t="inlineStr">
        <is>
          <t>Electrical. Three-phase supply about 15 to 20 kW. The fridges, exhaust fan, ESP, lights and water pump are on the power backup. Point numbers are on sheet 2.</t>
        </is>
      </c>
      <c r="C81" s="4" t="n"/>
      <c r="D81" s="4" t="n"/>
      <c r="E81" s="4" t="n"/>
      <c r="F81" s="4" t="n"/>
      <c r="G81" s="4" t="n"/>
      <c r="H81" s="4" t="n"/>
    </row>
    <row r="82">
      <c r="A82" s="6" t="inlineStr">
        <is>
          <t>E.01</t>
        </is>
      </c>
      <c r="B82" s="6" t="inlineStr">
        <is>
          <t>Socket or switch points 1 to 14 as marked on sheet 2 (fridge, freezer, rice cookers, mise-en-place rail, heat lamps, dishwasher, insect killer, hood and panel, pass fridge, grinder, heater isolator, hand-wash heaters, hoist), with their own MCBs where marked</t>
        </is>
      </c>
      <c r="C82" s="6" t="inlineStr">
        <is>
          <t>nos</t>
        </is>
      </c>
      <c r="D82" s="7" t="n">
        <v>14</v>
      </c>
      <c r="E82" s="8" t="n"/>
      <c r="F82" s="9">
        <f>IF(E82="","",D82*E82)</f>
        <v/>
      </c>
      <c r="G82" s="10" t="n"/>
      <c r="H82" s="6" t="inlineStr">
        <is>
          <t>Sheet 2</t>
        </is>
      </c>
    </row>
    <row r="83">
      <c r="A83" s="6" t="inlineStr">
        <is>
          <t>E.02</t>
        </is>
      </c>
      <c r="B83" s="6" t="inlineStr">
        <is>
          <t>Kitchen sub-distribution board with RCCB and MCBs, earthing and labelling</t>
        </is>
      </c>
      <c r="C83" s="6" t="inlineStr">
        <is>
          <t>nos</t>
        </is>
      </c>
      <c r="D83" s="7" t="n">
        <v>1</v>
      </c>
      <c r="E83" s="8" t="n"/>
      <c r="F83" s="9">
        <f>IF(E83="","",D83*E83)</f>
        <v/>
      </c>
      <c r="G83" s="10" t="n"/>
      <c r="H83" s="6" t="inlineStr">
        <is>
          <t>Sheet 1</t>
        </is>
      </c>
    </row>
    <row r="84">
      <c r="A84" s="6" t="inlineStr">
        <is>
          <t>E.03</t>
        </is>
      </c>
      <c r="B84" s="6" t="inlineStr">
        <is>
          <t>Exhaust fan and ESP control panel with hood-light switch and interlocks (fan, make-up air, gas solenoid, suppression)</t>
        </is>
      </c>
      <c r="C84" s="6" t="inlineStr">
        <is>
          <t>nos</t>
        </is>
      </c>
      <c r="D84" s="7" t="n">
        <v>1</v>
      </c>
      <c r="E84" s="8" t="n"/>
      <c r="F84" s="9">
        <f>IF(E84="","",D84*E84)</f>
        <v/>
      </c>
      <c r="G84" s="10" t="n"/>
      <c r="H84" s="6" t="inlineStr">
        <is>
          <t>Sheet 2</t>
        </is>
      </c>
    </row>
    <row r="85">
      <c r="A85" s="6" t="inlineStr">
        <is>
          <t>E.04</t>
        </is>
      </c>
      <c r="B85" s="6" t="inlineStr">
        <is>
          <t>LED hood light, 300 × 200 mm, vapour-proof</t>
        </is>
      </c>
      <c r="C85" s="6" t="inlineStr">
        <is>
          <t>nos</t>
        </is>
      </c>
      <c r="D85" s="7" t="n">
        <v>3</v>
      </c>
      <c r="E85" s="8" t="n"/>
      <c r="F85" s="9">
        <f>IF(E85="","",D85*E85)</f>
        <v/>
      </c>
      <c r="G85" s="10" t="n"/>
      <c r="H85" s="6" t="inlineStr">
        <is>
          <t>Sheet 2</t>
        </is>
      </c>
    </row>
    <row r="86">
      <c r="A86" s="6" t="inlineStr">
        <is>
          <t>E.05</t>
        </is>
      </c>
      <c r="B86" s="6" t="inlineStr">
        <is>
          <t>LED ceiling panel 600 × 600 mm</t>
        </is>
      </c>
      <c r="C86" s="6" t="inlineStr">
        <is>
          <t>nos</t>
        </is>
      </c>
      <c r="D86" s="7" t="n">
        <v>3</v>
      </c>
      <c r="E86" s="8" t="n"/>
      <c r="F86" s="9">
        <f>IF(E86="","",D86*E86)</f>
        <v/>
      </c>
      <c r="G86" s="10" t="n"/>
      <c r="H86" s="6" t="inlineStr">
        <is>
          <t>Model</t>
        </is>
      </c>
    </row>
    <row r="87">
      <c r="A87" s="6" t="inlineStr">
        <is>
          <t>E.06</t>
        </is>
      </c>
      <c r="B87" s="6" t="inlineStr">
        <is>
          <t>Cable, conduit, trunking and fixings for all kitchen points</t>
        </is>
      </c>
      <c r="C87" s="6" t="inlineStr">
        <is>
          <t>lot</t>
        </is>
      </c>
      <c r="D87" s="7" t="n">
        <v>1</v>
      </c>
      <c r="E87" s="8" t="n"/>
      <c r="F87" s="9">
        <f>IF(E87="","",D87*E87)</f>
        <v/>
      </c>
      <c r="G87" s="10" t="n"/>
      <c r="H87" s="6" t="inlineStr"/>
    </row>
    <row r="88">
      <c r="A88" s="6" t="inlineStr">
        <is>
          <t>E.07</t>
        </is>
      </c>
      <c r="B88" s="6" t="inlineStr">
        <is>
          <t>Emergency light and EXIT sign at the rear door</t>
        </is>
      </c>
      <c r="C88" s="6" t="inlineStr">
        <is>
          <t>set</t>
        </is>
      </c>
      <c r="D88" s="7" t="n">
        <v>1</v>
      </c>
      <c r="E88" s="8" t="n"/>
      <c r="F88" s="9">
        <f>IF(E88="","",D88*E88)</f>
        <v/>
      </c>
      <c r="G88" s="10" t="n"/>
      <c r="H88" s="6" t="inlineStr">
        <is>
          <t>Sheet 1</t>
        </is>
      </c>
    </row>
    <row r="89">
      <c r="A89" s="6" t="inlineStr">
        <is>
          <t>E.08</t>
        </is>
      </c>
      <c r="B89" s="6" t="inlineStr">
        <is>
          <t>Testing and commissioning of all circuits</t>
        </is>
      </c>
      <c r="C89" s="6" t="inlineStr">
        <is>
          <t>lot</t>
        </is>
      </c>
      <c r="D89" s="7" t="n">
        <v>1</v>
      </c>
      <c r="E89" s="8" t="n"/>
      <c r="F89" s="9">
        <f>IF(E89="","",D89*E89)</f>
        <v/>
      </c>
      <c r="G89" s="10" t="n"/>
      <c r="H89" s="6" t="inlineStr"/>
    </row>
    <row r="90">
      <c r="A90" s="11" t="n"/>
      <c r="B90" s="11" t="inlineStr">
        <is>
          <t>Subtotal, section E</t>
        </is>
      </c>
      <c r="C90" s="11" t="n"/>
      <c r="D90" s="11" t="n"/>
      <c r="E90" s="11" t="n"/>
      <c r="F90" s="12">
        <f>SUM(F82:F89)</f>
        <v/>
      </c>
      <c r="G90" s="11" t="n"/>
      <c r="H90" s="11" t="n"/>
    </row>
    <row r="92">
      <c r="A92" s="4" t="inlineStr">
        <is>
          <t>F</t>
        </is>
      </c>
      <c r="B92" s="5" t="inlineStr">
        <is>
          <t>Civil and finishes. Quantities from the 4.9 × 2.4 m kitchen; add wastage as usual. Ceiling must be non-combustible (no PVC).</t>
        </is>
      </c>
      <c r="C92" s="4" t="n"/>
      <c r="D92" s="4" t="n"/>
      <c r="E92" s="4" t="n"/>
      <c r="F92" s="4" t="n"/>
      <c r="G92" s="4" t="n"/>
      <c r="H92" s="4" t="n"/>
    </row>
    <row r="93">
      <c r="A93" s="6" t="inlineStr">
        <is>
          <t>F.01</t>
        </is>
      </c>
      <c r="B93" s="6" t="inlineStr">
        <is>
          <t>Wall tiles, white glazed 75 mm, to 2.1 m on the left wall and the partition, 0.85 to 2.1 m on the back and right walls, with grout and corner trims</t>
        </is>
      </c>
      <c r="C93" s="6" t="inlineStr">
        <is>
          <t>m²</t>
        </is>
      </c>
      <c r="D93" s="7" t="n">
        <v>22.4</v>
      </c>
      <c r="E93" s="8" t="n"/>
      <c r="F93" s="9">
        <f>IF(E93="","",D93*E93)</f>
        <v/>
      </c>
      <c r="G93" s="10" t="n"/>
      <c r="H93" s="6" t="inlineStr">
        <is>
          <t>Model</t>
        </is>
      </c>
    </row>
    <row r="94">
      <c r="A94" s="6" t="inlineStr">
        <is>
          <t>F.02</t>
        </is>
      </c>
      <c r="B94" s="6" t="inlineStr">
        <is>
          <t>Anti-slip epoxy floor with falls to the channel drain, grey</t>
        </is>
      </c>
      <c r="C94" s="6" t="inlineStr">
        <is>
          <t>m²</t>
        </is>
      </c>
      <c r="D94" s="7" t="n">
        <v>11.8</v>
      </c>
      <c r="E94" s="8" t="n"/>
      <c r="F94" s="9">
        <f>IF(E94="","",D94*E94)</f>
        <v/>
      </c>
      <c r="G94" s="10" t="n"/>
      <c r="H94" s="6" t="inlineStr">
        <is>
          <t>Model</t>
        </is>
      </c>
    </row>
    <row r="95">
      <c r="A95" s="6" t="inlineStr">
        <is>
          <t>F.03</t>
        </is>
      </c>
      <c r="B95" s="6" t="inlineStr">
        <is>
          <t>Non-combustible cement-board ceiling at 2.70 m with frame and white paint</t>
        </is>
      </c>
      <c r="C95" s="6" t="inlineStr">
        <is>
          <t>m²</t>
        </is>
      </c>
      <c r="D95" s="7" t="n">
        <v>11.8</v>
      </c>
      <c r="E95" s="8" t="n"/>
      <c r="F95" s="9">
        <f>IF(E95="","",D95*E95)</f>
        <v/>
      </c>
      <c r="G95" s="10" t="n"/>
      <c r="H95" s="6" t="inlineStr">
        <is>
          <t>Model</t>
        </is>
      </c>
    </row>
    <row r="96">
      <c r="A96" s="6" t="inlineStr">
        <is>
          <t>F.04</t>
        </is>
      </c>
      <c r="B96" s="6" t="inlineStr">
        <is>
          <t>Double-acting kitchen door 800 × 2,050 mm, stainless, spring pivots, vision panel, push plates and kick plate</t>
        </is>
      </c>
      <c r="C96" s="6" t="inlineStr">
        <is>
          <t>nos</t>
        </is>
      </c>
      <c r="D96" s="7" t="n">
        <v>1</v>
      </c>
      <c r="E96" s="8" t="n"/>
      <c r="F96" s="9">
        <f>IF(E96="","",D96*E96)</f>
        <v/>
      </c>
      <c r="G96" s="10" t="n"/>
      <c r="H96" s="6" t="inlineStr">
        <is>
          <t>Sheet 1</t>
        </is>
      </c>
    </row>
    <row r="97">
      <c r="A97" s="6" t="inlineStr">
        <is>
          <t>F.05</t>
        </is>
      </c>
      <c r="B97" s="6" t="inlineStr">
        <is>
          <t>Rear exit door 800 × 2,100 mm, opening outward, with closer, rubber sweep, PVC strip curtain and panic bar</t>
        </is>
      </c>
      <c r="C97" s="6" t="inlineStr">
        <is>
          <t>set</t>
        </is>
      </c>
      <c r="D97" s="7" t="n">
        <v>1</v>
      </c>
      <c r="E97" s="8" t="n"/>
      <c r="F97" s="9">
        <f>IF(E97="","",D97*E97)</f>
        <v/>
      </c>
      <c r="G97" s="10" t="n"/>
      <c r="H97" s="6" t="inlineStr">
        <is>
          <t>Sheet 1</t>
        </is>
      </c>
    </row>
    <row r="98">
      <c r="A98" s="6" t="inlineStr">
        <is>
          <t>F.06</t>
        </is>
      </c>
      <c r="B98" s="6" t="inlineStr">
        <is>
          <t>Cutting and making good: duct opening 400 × 400 mm in the back wall, gas and water sleeves, fan and intake openings</t>
        </is>
      </c>
      <c r="C98" s="6" t="inlineStr">
        <is>
          <t>lot</t>
        </is>
      </c>
      <c r="D98" s="7" t="n">
        <v>1</v>
      </c>
      <c r="E98" s="8" t="n"/>
      <c r="F98" s="9">
        <f>IF(E98="","",D98*E98)</f>
        <v/>
      </c>
      <c r="G98" s="10" t="n"/>
      <c r="H98" s="6" t="inlineStr">
        <is>
          <t>Sheet 2</t>
        </is>
      </c>
    </row>
    <row r="99">
      <c r="A99" s="6" t="inlineStr">
        <is>
          <t>F.07</t>
        </is>
      </c>
      <c r="B99" s="6" t="inlineStr">
        <is>
          <t>Storage deck over the kitchen, plywood on steel joists, 4.9 × 2.4 m, rated for storage only</t>
        </is>
      </c>
      <c r="C99" s="6" t="inlineStr">
        <is>
          <t>m²</t>
        </is>
      </c>
      <c r="D99" s="7" t="n">
        <v>11.8</v>
      </c>
      <c r="E99" s="8" t="n"/>
      <c r="F99" s="9">
        <f>IF(E99="","",D99*E99)</f>
        <v/>
      </c>
      <c r="G99" s="10" t="n"/>
      <c r="H99" s="6" t="inlineStr">
        <is>
          <t>Model</t>
        </is>
      </c>
    </row>
    <row r="100">
      <c r="A100" s="11" t="n"/>
      <c r="B100" s="11" t="inlineStr">
        <is>
          <t>Subtotal, section F</t>
        </is>
      </c>
      <c r="C100" s="11" t="n"/>
      <c r="D100" s="11" t="n"/>
      <c r="E100" s="11" t="n"/>
      <c r="F100" s="12">
        <f>SUM(F93:F99)</f>
        <v/>
      </c>
      <c r="G100" s="11" t="n"/>
      <c r="H100" s="11" t="n"/>
    </row>
    <row r="102">
      <c r="A102" s="4" t="inlineStr">
        <is>
          <t>G</t>
        </is>
      </c>
      <c r="B102" s="5" t="inlineStr">
        <is>
          <t>Fire and safety. Needed for the fire NOC.</t>
        </is>
      </c>
      <c r="C102" s="4" t="n"/>
      <c r="D102" s="4" t="n"/>
      <c r="E102" s="4" t="n"/>
      <c r="F102" s="4" t="n"/>
      <c r="G102" s="4" t="n"/>
      <c r="H102" s="4" t="n"/>
    </row>
    <row r="103">
      <c r="A103" s="6" t="inlineStr">
        <is>
          <t>G.01</t>
        </is>
      </c>
      <c r="B103" s="6" t="inlineStr">
        <is>
          <t>Wet-chemical hood suppression with nozzles over each appliance, manual pull and automatic gas cut-off</t>
        </is>
      </c>
      <c r="C103" s="6" t="inlineStr">
        <is>
          <t>set</t>
        </is>
      </c>
      <c r="D103" s="7" t="n">
        <v>1</v>
      </c>
      <c r="E103" s="8" t="n"/>
      <c r="F103" s="9">
        <f>IF(E103="","",D103*E103)</f>
        <v/>
      </c>
      <c r="G103" s="10" t="n"/>
      <c r="H103" s="6" t="inlineStr">
        <is>
          <t>Sheet 2</t>
        </is>
      </c>
    </row>
    <row r="104">
      <c r="A104" s="6" t="inlineStr">
        <is>
          <t>G.02</t>
        </is>
      </c>
      <c r="B104" s="6" t="inlineStr">
        <is>
          <t>Extinguisher, wet chemical (Class K) 6 L, on the back wall at the end of the hot line</t>
        </is>
      </c>
      <c r="C104" s="6" t="inlineStr">
        <is>
          <t>nos</t>
        </is>
      </c>
      <c r="D104" s="7" t="n">
        <v>1</v>
      </c>
      <c r="E104" s="8" t="n"/>
      <c r="F104" s="9">
        <f>IF(E104="","",D104*E104)</f>
        <v/>
      </c>
      <c r="G104" s="10" t="n"/>
      <c r="H104" s="6" t="inlineStr">
        <is>
          <t>Sheet 1</t>
        </is>
      </c>
    </row>
    <row r="105">
      <c r="A105" s="6" t="inlineStr">
        <is>
          <t>G.03</t>
        </is>
      </c>
      <c r="B105" s="6" t="inlineStr">
        <is>
          <t>Extinguisher, CO₂ 4.5 kg, beside the electrical board at the kitchen door</t>
        </is>
      </c>
      <c r="C105" s="6" t="inlineStr">
        <is>
          <t>nos</t>
        </is>
      </c>
      <c r="D105" s="7" t="n">
        <v>1</v>
      </c>
      <c r="E105" s="8" t="n"/>
      <c r="F105" s="9">
        <f>IF(E105="","",D105*E105)</f>
        <v/>
      </c>
      <c r="G105" s="10" t="n"/>
      <c r="H105" s="6" t="inlineStr">
        <is>
          <t>Model</t>
        </is>
      </c>
    </row>
    <row r="106">
      <c r="A106" s="6" t="inlineStr">
        <is>
          <t>G.04</t>
        </is>
      </c>
      <c r="B106" s="6" t="inlineStr">
        <is>
          <t>Fire blanket in a wall box</t>
        </is>
      </c>
      <c r="C106" s="6" t="inlineStr">
        <is>
          <t>nos</t>
        </is>
      </c>
      <c r="D106" s="7" t="n">
        <v>1</v>
      </c>
      <c r="E106" s="8" t="n"/>
      <c r="F106" s="9">
        <f>IF(E106="","",D106*E106)</f>
        <v/>
      </c>
      <c r="G106" s="10" t="n"/>
      <c r="H106" s="6" t="inlineStr">
        <is>
          <t>Sheet 1</t>
        </is>
      </c>
    </row>
    <row r="107">
      <c r="A107" s="6" t="inlineStr">
        <is>
          <t>G.05</t>
        </is>
      </c>
      <c r="B107" s="6" t="inlineStr">
        <is>
          <t>First-aid box on the wall</t>
        </is>
      </c>
      <c r="C107" s="6" t="inlineStr">
        <is>
          <t>nos</t>
        </is>
      </c>
      <c r="D107" s="7" t="n">
        <v>1</v>
      </c>
      <c r="E107" s="8" t="n"/>
      <c r="F107" s="9">
        <f>IF(E107="","",D107*E107)</f>
        <v/>
      </c>
      <c r="G107" s="10" t="n"/>
      <c r="H107" s="6" t="inlineStr">
        <is>
          <t>Model</t>
        </is>
      </c>
    </row>
    <row r="108">
      <c r="A108" s="6" t="inlineStr">
        <is>
          <t>G.06</t>
        </is>
      </c>
      <c r="B108" s="6" t="inlineStr">
        <is>
          <t>Heat detector on the kitchen ceiling, wired to the alarm panel</t>
        </is>
      </c>
      <c r="C108" s="6" t="inlineStr">
        <is>
          <t>nos</t>
        </is>
      </c>
      <c r="D108" s="7" t="n">
        <v>1</v>
      </c>
      <c r="E108" s="8" t="n"/>
      <c r="F108" s="9">
        <f>IF(E108="","",D108*E108)</f>
        <v/>
      </c>
      <c r="G108" s="10" t="n"/>
      <c r="H108" s="6" t="inlineStr">
        <is>
          <t>Sheet 2</t>
        </is>
      </c>
    </row>
    <row r="109">
      <c r="A109" s="11" t="n"/>
      <c r="B109" s="11" t="inlineStr">
        <is>
          <t>Subtotal, section G</t>
        </is>
      </c>
      <c r="C109" s="11" t="n"/>
      <c r="D109" s="11" t="n"/>
      <c r="E109" s="11" t="n"/>
      <c r="F109" s="12">
        <f>SUM(F103:F108)</f>
        <v/>
      </c>
      <c r="G109" s="11" t="n"/>
      <c r="H109" s="11" t="n"/>
    </row>
    <row r="111">
      <c r="A111" s="4" t="inlineStr">
        <is>
          <t>H</t>
        </is>
      </c>
      <c r="B111" s="5" t="inlineStr">
        <is>
          <t>Outside, bins and housekeeping</t>
        </is>
      </c>
      <c r="C111" s="4" t="n"/>
      <c r="D111" s="4" t="n"/>
      <c r="E111" s="4" t="n"/>
      <c r="F111" s="4" t="n"/>
      <c r="G111" s="4" t="n"/>
      <c r="H111" s="4" t="n"/>
    </row>
    <row r="112">
      <c r="A112" s="6" t="inlineStr">
        <is>
          <t>H.01</t>
        </is>
      </c>
      <c r="B112" s="6" t="inlineStr">
        <is>
          <t>Bin store 450 × 900 × 1,000 mm, timber slats, on the right strip</t>
        </is>
      </c>
      <c r="C112" s="6" t="inlineStr">
        <is>
          <t>nos</t>
        </is>
      </c>
      <c r="D112" s="7" t="n">
        <v>1</v>
      </c>
      <c r="E112" s="8" t="n"/>
      <c r="F112" s="9">
        <f>IF(E112="","",D112*E112)</f>
        <v/>
      </c>
      <c r="G112" s="10" t="n"/>
      <c r="H112" s="6" t="inlineStr">
        <is>
          <t>Plan</t>
        </is>
      </c>
    </row>
    <row r="113">
      <c r="A113" s="6" t="inlineStr">
        <is>
          <t>H.02</t>
        </is>
      </c>
      <c r="B113" s="6" t="inlineStr">
        <is>
          <t>Wheeled bin 60 L (wet, dry, glass)</t>
        </is>
      </c>
      <c r="C113" s="6" t="inlineStr">
        <is>
          <t>nos</t>
        </is>
      </c>
      <c r="D113" s="7" t="n">
        <v>3</v>
      </c>
      <c r="E113" s="8" t="n"/>
      <c r="F113" s="9">
        <f>IF(E113="","",D113*E113)</f>
        <v/>
      </c>
      <c r="G113" s="10" t="n"/>
      <c r="H113" s="6" t="inlineStr">
        <is>
          <t>Plan</t>
        </is>
      </c>
    </row>
    <row r="114">
      <c r="A114" s="6" t="inlineStr">
        <is>
          <t>H.03</t>
        </is>
      </c>
      <c r="B114" s="6" t="inlineStr">
        <is>
          <t>Foot-pedal bin Ø 200 × 600 mm (wet under the veg sink, dry by the rear door)</t>
        </is>
      </c>
      <c r="C114" s="6" t="inlineStr">
        <is>
          <t>nos</t>
        </is>
      </c>
      <c r="D114" s="7" t="n">
        <v>2</v>
      </c>
      <c r="E114" s="8" t="n"/>
      <c r="F114" s="9">
        <f>IF(E114="","",D114*E114)</f>
        <v/>
      </c>
      <c r="G114" s="10" t="n"/>
      <c r="H114" s="6" t="inlineStr">
        <is>
          <t>Sheet 1</t>
        </is>
      </c>
    </row>
    <row r="115">
      <c r="A115" s="6" t="inlineStr">
        <is>
          <t>H.04</t>
        </is>
      </c>
      <c r="B115" s="6" t="inlineStr">
        <is>
          <t>Steel bollard Ø 130 × 900 mm on the edge of the strip</t>
        </is>
      </c>
      <c r="C115" s="6" t="inlineStr">
        <is>
          <t>nos</t>
        </is>
      </c>
      <c r="D115" s="7" t="n">
        <v>6</v>
      </c>
      <c r="E115" s="8" t="n"/>
      <c r="F115" s="9">
        <f>IF(E115="","",D115*E115)</f>
        <v/>
      </c>
      <c r="G115" s="10" t="n"/>
      <c r="H115" s="6" t="inlineStr">
        <is>
          <t>Plan</t>
        </is>
      </c>
    </row>
    <row r="116">
      <c r="A116" s="6" t="inlineStr">
        <is>
          <t>H.05</t>
        </is>
      </c>
      <c r="B116" s="6" t="inlineStr">
        <is>
          <t>Apron hook rail, 3 hooks, above the prep-corner hand-wash</t>
        </is>
      </c>
      <c r="C116" s="6" t="inlineStr">
        <is>
          <t>nos</t>
        </is>
      </c>
      <c r="D116" s="7" t="n">
        <v>1</v>
      </c>
      <c r="E116" s="8" t="n"/>
      <c r="F116" s="9">
        <f>IF(E116="","",D116*E116)</f>
        <v/>
      </c>
      <c r="G116" s="10" t="n"/>
      <c r="H116" s="6" t="inlineStr">
        <is>
          <t>Sheet 1</t>
        </is>
      </c>
    </row>
    <row r="117">
      <c r="A117" s="6" t="inlineStr">
        <is>
          <t>H.06</t>
        </is>
      </c>
      <c r="B117" s="6" t="inlineStr">
        <is>
          <t>Dirty-linen bag with lid, and used-oil can 20 L with spill tray</t>
        </is>
      </c>
      <c r="C117" s="6" t="inlineStr">
        <is>
          <t>set</t>
        </is>
      </c>
      <c r="D117" s="7" t="n">
        <v>1</v>
      </c>
      <c r="E117" s="8" t="n"/>
      <c r="F117" s="9">
        <f>IF(E117="","",D117*E117)</f>
        <v/>
      </c>
      <c r="G117" s="10" t="n"/>
      <c r="H117" s="6" t="inlineStr">
        <is>
          <t>Sheet 1</t>
        </is>
      </c>
    </row>
    <row r="118">
      <c r="A118" s="11" t="n"/>
      <c r="B118" s="11" t="inlineStr">
        <is>
          <t>Subtotal, section H</t>
        </is>
      </c>
      <c r="C118" s="11" t="n"/>
      <c r="D118" s="11" t="n"/>
      <c r="E118" s="11" t="n"/>
      <c r="F118" s="12">
        <f>SUM(F112:F117)</f>
        <v/>
      </c>
      <c r="G118" s="11" t="n"/>
      <c r="H118" s="11" t="n"/>
    </row>
    <row r="120">
      <c r="B120" s="13" t="inlineStr">
        <is>
          <t>Total of all sections (ex-GST)</t>
        </is>
      </c>
      <c r="F120" s="14">
        <f>F27+F53+F64+F79+F90+F100+F109+F118</f>
        <v/>
      </c>
    </row>
    <row r="121">
      <c r="B121" s="13" t="inlineStr">
        <is>
          <t>Freight and unloading to Betalbatim</t>
        </is>
      </c>
      <c r="F121" s="15" t="n"/>
    </row>
    <row r="122">
      <c r="B122" s="13" t="inlineStr">
        <is>
          <t>Installation and connections not included above</t>
        </is>
      </c>
      <c r="F122" s="15" t="n"/>
    </row>
    <row r="123">
      <c r="B123" s="13" t="inlineStr">
        <is>
          <t>GST rate (%)</t>
        </is>
      </c>
      <c r="F123" s="15" t="n">
        <v>18</v>
      </c>
    </row>
    <row r="124">
      <c r="B124" s="13" t="inlineStr">
        <is>
          <t>GST</t>
        </is>
      </c>
      <c r="F124" s="14">
        <f>ROUND((F120+F121+F122)*F123/100,2)</f>
        <v/>
      </c>
    </row>
    <row r="125">
      <c r="B125" s="16" t="inlineStr">
        <is>
          <t>Grand total including GST</t>
        </is>
      </c>
      <c r="F125" s="17">
        <f>F120+F121+F122+F124</f>
        <v/>
      </c>
    </row>
  </sheetData>
  <mergeCells count="2">
    <mergeCell ref="A3:H3"/>
    <mergeCell ref="A2:H2"/>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18" t="inlineStr">
        <is>
          <t>How to use this BOQ</t>
        </is>
      </c>
    </row>
    <row r="2">
      <c r="A2" s="2" t="inlineStr">
        <is>
          <t>1. Send the same BOQ and the two A3 sheets to three suppliers per group: A (fabrication) to Gujarat, Mumbai and Goa fabricators; B to Goa dealers plus the brand or an online dealer; C to E to licensed contractors.</t>
        </is>
      </c>
    </row>
    <row r="3">
      <c r="A3" s="2" t="inlineStr">
        <is>
          <t>2. Suppliers enter the rate for every line (ex-GST), the make and model for sections B, and remarks. A line left blank is not priced; do not compare totals until the line counts match.</t>
        </is>
      </c>
    </row>
    <row r="4">
      <c r="A4" s="2" t="inlineStr">
        <is>
          <t>3. Quantities marked "measure on site" (duct, gas pipe, drain pipe, water pipe) are estimates from the model; the contractor measures and re-prices by the metre.</t>
        </is>
      </c>
    </row>
    <row r="5">
      <c r="A5" s="2" t="inlineStr">
        <is>
          <t>4. Every quote must also state: steel grade and thickness, price ex-GST with the GST rate, delivery, installation, lead time, payment schedule, warranty and who services it in Goa, validity.</t>
        </is>
      </c>
    </row>
    <row r="6">
      <c r="A6" s="2" t="inlineStr">
        <is>
          <t>5. Concept drawings for briefing suppliers, not construction drawings.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2026-10-17T07:05:49Z</dcterms:created>
  <dcterms:modified xsi:type="dcterms:W3CDTF">2026-10-17T07:05:49Z</dcterms:modified>
</cp:coreProperties>
</file>