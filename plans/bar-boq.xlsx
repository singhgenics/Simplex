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 BOQ" sheetId="1" state="visible" r:id="rId1"/>
  </sheets>
  <definedNames>
    <definedName name="_xlnm.Print_Titles" localSheetId="0">'Bar BOQ'!$5:$5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A2420"/>
      </patternFill>
    </fill>
    <fill>
      <patternFill patternType="solid">
        <fgColor rgb="00EFE6D3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pivotButton="0" quotePrefix="0" xfId="0"/>
    <xf numFmtId="4" fontId="3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4" borderId="0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22" customWidth="1" min="4" max="4"/>
    <col width="52" customWidth="1" min="5" max="5"/>
    <col width="6" customWidth="1" min="6" max="6"/>
    <col width="7" customWidth="1" min="7" max="7"/>
    <col width="12" customWidth="1" min="8" max="8"/>
    <col width="14" customWidth="1" min="9" max="9"/>
    <col width="26" customWidth="1" min="10" max="10"/>
  </cols>
  <sheetData>
    <row r="1">
      <c r="A1" s="1" t="inlineStr">
        <is>
          <t>Vendor list · bar and server station · Betalbatim pub</t>
        </is>
      </c>
    </row>
    <row r="2" ht="32" customHeight="1">
      <c r="A2" s="2" t="inlineStr">
        <is>
          <t>Shop 4, Tulip Residency, Gandaulim, Salcete, South Goa. Bar on the left wall as in the Simplex model. Grouped by area of the bar (A to H); the same letters and item numbers are on the A3 drawing. Sizes in metres (width × depth × height), the space available; measure on site.</t>
        </is>
      </c>
    </row>
    <row r="3" ht="32" customHeight="1">
      <c r="A3" s="2" t="inlineStr">
        <is>
          <t>Fill the yellow cells (rate, make/model, remarks). Amounts and totals calculate. Rates ex-GST; freight, installation and the GST rate go in the lines at the bottom.</t>
        </is>
      </c>
    </row>
    <row r="5">
      <c r="A5" s="3" t="inlineStr">
        <is>
          <t>No.</t>
        </is>
      </c>
      <c r="B5" s="3" t="inlineStr">
        <is>
          <t>Item</t>
        </is>
      </c>
      <c r="C5" s="3" t="inlineStr">
        <is>
          <t>Where it is</t>
        </is>
      </c>
      <c r="D5" s="3" t="inlineStr">
        <is>
          <t>Size W × D × H (m)</t>
        </is>
      </c>
      <c r="E5" s="3" t="inlineStr">
        <is>
          <t>What it is / specification</t>
        </is>
      </c>
      <c r="F5" s="3" t="inlineStr">
        <is>
          <t>Unit</t>
        </is>
      </c>
      <c r="G5" s="3" t="inlineStr">
        <is>
          <t>Qty</t>
        </is>
      </c>
      <c r="H5" s="3" t="inlineStr">
        <is>
          <t>Rate (₹)</t>
        </is>
      </c>
      <c r="I5" s="3" t="inlineStr">
        <is>
          <t>Amount (₹)</t>
        </is>
      </c>
      <c r="J5" s="3" t="inlineStr">
        <is>
          <t>Make / model / remarks</t>
        </is>
      </c>
    </row>
    <row r="6" ht="46" customHeight="1">
      <c r="A6" s="4" t="inlineStr">
        <is>
          <t>A</t>
        </is>
      </c>
      <c r="B6" s="4" t="inlineStr">
        <is>
          <t>Customer side of the bar</t>
        </is>
      </c>
      <c r="C6" s="4" t="n"/>
      <c r="D6" s="4" t="n"/>
      <c r="E6" s="4" t="inlineStr">
        <is>
          <t>What guests see and sit at: the counter, the stools and the glass rack hanging above it.</t>
        </is>
      </c>
      <c r="F6" s="4" t="n"/>
      <c r="G6" s="4" t="n"/>
      <c r="H6" s="4" t="n"/>
      <c r="I6" s="4" t="n"/>
      <c r="J6" s="4" t="n"/>
    </row>
    <row r="7">
      <c r="A7" s="5" t="n">
        <v>1</v>
      </c>
      <c r="B7" s="5" t="inlineStr">
        <is>
          <t>Bar counter</t>
        </is>
      </c>
      <c r="C7" s="5" t="inlineStr">
        <is>
          <t>The long island in the middle of the bar</t>
        </is>
      </c>
      <c r="D7" s="5" t="inlineStr">
        <is>
          <t>2.20 × 0.75 × 1.04</t>
        </is>
      </c>
      <c r="E7" s="5" t="inlineStr">
        <is>
          <t>Marble top, square end facing the door; onyx front edge-lit by an LED panel behind black mesh; black base; brass foot rail</t>
        </is>
      </c>
      <c r="F7" s="5" t="inlineStr">
        <is>
          <t>nos</t>
        </is>
      </c>
      <c r="G7" s="6" t="n">
        <v>1</v>
      </c>
      <c r="H7" s="7" t="n"/>
      <c r="I7" s="8">
        <f>IF(H7="","",G7*H7)</f>
        <v/>
      </c>
      <c r="J7" s="9" t="n"/>
    </row>
    <row r="8">
      <c r="A8" s="5" t="n">
        <v>2</v>
      </c>
      <c r="B8" s="5" t="inlineStr">
        <is>
          <t>Bar stool, velvet high-back</t>
        </is>
      </c>
      <c r="C8" s="5" t="inlineStr">
        <is>
          <t>In front of the counter, 0.60 m apart</t>
        </is>
      </c>
      <c r="D8" s="5" t="inlineStr"/>
      <c r="E8" s="5" t="inlineStr">
        <is>
          <t>Seat height to suit the 1.04 m counter</t>
        </is>
      </c>
      <c r="F8" s="5" t="inlineStr">
        <is>
          <t>nos</t>
        </is>
      </c>
      <c r="G8" s="6" t="n">
        <v>4</v>
      </c>
      <c r="H8" s="7" t="n"/>
      <c r="I8" s="8">
        <f>IF(H8="","",G8*H8)</f>
        <v/>
      </c>
      <c r="J8" s="9" t="n"/>
    </row>
    <row r="9">
      <c r="A9" s="5" t="n">
        <v>3</v>
      </c>
      <c r="B9" s="5" t="inlineStr">
        <is>
          <t>Floating glass rack</t>
        </is>
      </c>
      <c r="C9" s="5" t="inlineStr">
        <is>
          <t>Hangs from the slab above the counter</t>
        </is>
      </c>
      <c r="D9" s="5" t="inlineStr">
        <is>
          <t>0.74 × 2.00</t>
        </is>
      </c>
      <c r="E9" s="5" t="inlineStr">
        <is>
          <t>Brass frame on 4 black rods; lower tier at 2.30 m for stemware hung upside down, upper tier at 2.58 m for pints and highballs; warm LED strips</t>
        </is>
      </c>
      <c r="F9" s="5" t="inlineStr">
        <is>
          <t>nos</t>
        </is>
      </c>
      <c r="G9" s="6" t="n">
        <v>1</v>
      </c>
      <c r="H9" s="7" t="n"/>
      <c r="I9" s="8">
        <f>IF(H9="","",G9*H9)</f>
        <v/>
      </c>
      <c r="J9" s="9" t="n"/>
    </row>
    <row r="10">
      <c r="A10" s="10" t="n"/>
      <c r="B10" s="10" t="inlineStr">
        <is>
          <t>Subtotal, section A</t>
        </is>
      </c>
      <c r="C10" s="10" t="n"/>
      <c r="D10" s="10" t="n"/>
      <c r="E10" s="10" t="n"/>
      <c r="F10" s="10" t="n"/>
      <c r="G10" s="10" t="n"/>
      <c r="H10" s="10" t="n"/>
      <c r="I10" s="11">
        <f>SUM(I7:I9)</f>
        <v/>
      </c>
      <c r="J10" s="10" t="n"/>
    </row>
    <row r="12" ht="46" customHeight="1">
      <c r="A12" s="4" t="inlineStr">
        <is>
          <t>B</t>
        </is>
      </c>
      <c r="B12" s="4" t="inlineStr">
        <is>
          <t>Draught beer (taps, kegs and chiller)</t>
        </is>
      </c>
      <c r="C12" s="4" t="n"/>
      <c r="D12" s="4" t="n"/>
      <c r="E12" s="4" t="inlineStr">
        <is>
          <t>Everything for the 3 craft taps. The taps are on top of the counter; the kegs and chiller are inside the counter at the door end, behind two louvred doors.</t>
        </is>
      </c>
      <c r="F12" s="4" t="n"/>
      <c r="G12" s="4" t="n"/>
      <c r="H12" s="4" t="n"/>
      <c r="I12" s="4" t="n"/>
      <c r="J12" s="4" t="n"/>
    </row>
    <row r="13">
      <c r="A13" s="5" t="n">
        <v>4</v>
      </c>
      <c r="B13" s="5" t="inlineStr">
        <is>
          <t>Beer font with 3 taps</t>
        </is>
      </c>
      <c r="C13" s="5" t="inlineStr">
        <is>
          <t>On top of the counter, door end</t>
        </is>
      </c>
      <c r="D13" s="5" t="inlineStr">
        <is>
          <t>Ø 0.09 × 0.42 high</t>
        </is>
      </c>
      <c r="E13" s="5" t="inlineStr">
        <is>
          <t>One brass font, 3 taps; tap handles to the brewery brand. The brewery may lend this (get it in writing)</t>
        </is>
      </c>
      <c r="F13" s="5" t="inlineStr">
        <is>
          <t>nos</t>
        </is>
      </c>
      <c r="G13" s="6" t="n">
        <v>1</v>
      </c>
      <c r="H13" s="7" t="n"/>
      <c r="I13" s="8">
        <f>IF(H13="","",G13*H13)</f>
        <v/>
      </c>
      <c r="J13" s="9" t="n"/>
    </row>
    <row r="14">
      <c r="A14" s="5" t="n">
        <v>5</v>
      </c>
      <c r="B14" s="5" t="inlineStr">
        <is>
          <t>Keg cabinet</t>
        </is>
      </c>
      <c r="C14" s="5" t="inlineStr">
        <is>
          <t>Inside the counter, door end (bartender side)</t>
        </is>
      </c>
      <c r="D14" s="5" t="inlineStr">
        <is>
          <t>1.10 × 0.63 × 0.90</t>
        </is>
      </c>
      <c r="E14" s="5" t="inlineStr">
        <is>
          <t>Two louvred timber doors, because the chiller needs air; roll-out base for the kegs</t>
        </is>
      </c>
      <c r="F14" s="5" t="inlineStr">
        <is>
          <t>nos</t>
        </is>
      </c>
      <c r="G14" s="6" t="n">
        <v>1</v>
      </c>
      <c r="H14" s="7" t="n"/>
      <c r="I14" s="8">
        <f>IF(H14="","",G14*H14)</f>
        <v/>
      </c>
      <c r="J14" s="9" t="n"/>
    </row>
    <row r="15">
      <c r="A15" s="5" t="n">
        <v>6</v>
      </c>
      <c r="B15" s="5" t="inlineStr">
        <is>
          <t>Keg 20 L with coupler</t>
        </is>
      </c>
      <c r="C15" s="5" t="inlineStr">
        <is>
          <t>On the roll-out base in the keg cabinet</t>
        </is>
      </c>
      <c r="D15" s="5" t="inlineStr">
        <is>
          <t>Ø 0.24 × 0.42</t>
        </is>
      </c>
      <c r="E15" s="5" t="inlineStr">
        <is>
          <t>3 on tap, one per tap; supplied by the brewery</t>
        </is>
      </c>
      <c r="F15" s="5" t="inlineStr">
        <is>
          <t>nos</t>
        </is>
      </c>
      <c r="G15" s="6" t="n">
        <v>3</v>
      </c>
      <c r="H15" s="7" t="n"/>
      <c r="I15" s="8">
        <f>IF(H15="","",G15*H15)</f>
        <v/>
      </c>
      <c r="J15" s="9" t="n"/>
    </row>
    <row r="16">
      <c r="A16" s="5" t="n">
        <v>7</v>
      </c>
      <c r="B16" s="5" t="inlineStr">
        <is>
          <t>Flash chiller</t>
        </is>
      </c>
      <c r="C16" s="5" t="inlineStr">
        <is>
          <t>In the keg cabinet, beside the kegs</t>
        </is>
      </c>
      <c r="D16" s="5" t="inlineStr">
        <is>
          <t>0.50 × 0.42 × 0.57</t>
        </is>
      </c>
      <c r="E16" s="5" t="inlineStr">
        <is>
          <t>Self-contained, no outdoor unit, rated for room-temperature kegs in the tropics; chills the beer on its way to the taps</t>
        </is>
      </c>
      <c r="F16" s="5" t="inlineStr">
        <is>
          <t>nos</t>
        </is>
      </c>
      <c r="G16" s="6" t="n">
        <v>1</v>
      </c>
      <c r="H16" s="7" t="n"/>
      <c r="I16" s="8">
        <f>IF(H16="","",G16*H16)</f>
        <v/>
      </c>
      <c r="J16" s="9" t="n"/>
    </row>
    <row r="17">
      <c r="A17" s="5" t="n">
        <v>8</v>
      </c>
      <c r="B17" s="5" t="inlineStr">
        <is>
          <t>Beer line, insulated</t>
        </is>
      </c>
      <c r="C17" s="5" t="inlineStr">
        <is>
          <t>From the chiller up to the font</t>
        </is>
      </c>
      <c r="D17" s="5" t="inlineStr"/>
      <c r="E17" s="5" t="inlineStr">
        <is>
          <t>About 2 m with fittings</t>
        </is>
      </c>
      <c r="F17" s="5" t="inlineStr">
        <is>
          <t>lot</t>
        </is>
      </c>
      <c r="G17" s="6" t="n">
        <v>1</v>
      </c>
      <c r="H17" s="7" t="n"/>
      <c r="I17" s="8">
        <f>IF(H17="","",G17*H17)</f>
        <v/>
      </c>
      <c r="J17" s="9" t="n"/>
    </row>
    <row r="18">
      <c r="A18" s="5" t="n">
        <v>9</v>
      </c>
      <c r="B18" s="5" t="inlineStr">
        <is>
          <t>CO₂ cylinder with regulator and chain</t>
        </is>
      </c>
      <c r="C18" s="5" t="inlineStr">
        <is>
          <t>In the back-bar cabinet under the infusion jars (a different place from the kegs)</t>
        </is>
      </c>
      <c r="D18" s="5" t="inlineStr">
        <is>
          <t>Ø 0.15 × 0.67</t>
        </is>
      </c>
      <c r="E18" s="5" t="inlineStr">
        <is>
          <t>6 kg, chained upright, with a low vent grille</t>
        </is>
      </c>
      <c r="F18" s="5" t="inlineStr">
        <is>
          <t>nos</t>
        </is>
      </c>
      <c r="G18" s="6" t="n">
        <v>1</v>
      </c>
      <c r="H18" s="7" t="n"/>
      <c r="I18" s="8">
        <f>IF(H18="","",G18*H18)</f>
        <v/>
      </c>
      <c r="J18" s="9" t="n"/>
    </row>
    <row r="19">
      <c r="A19" s="5" t="n">
        <v>10</v>
      </c>
      <c r="B19" s="5" t="inlineStr">
        <is>
          <t>Low CO₂ alarm</t>
        </is>
      </c>
      <c r="C19" s="5" t="inlineStr">
        <is>
          <t>Low on the back-bar cabinet</t>
        </is>
      </c>
      <c r="D19" s="5" t="inlineStr"/>
      <c r="E19" s="5" t="inlineStr">
        <is>
          <t>CO₂ is heavier than air, so it sits near the floor</t>
        </is>
      </c>
      <c r="F19" s="5" t="inlineStr">
        <is>
          <t>nos</t>
        </is>
      </c>
      <c r="G19" s="6" t="n">
        <v>1</v>
      </c>
      <c r="H19" s="7" t="n"/>
      <c r="I19" s="8">
        <f>IF(H19="","",G19*H19)</f>
        <v/>
      </c>
      <c r="J19" s="9" t="n"/>
    </row>
    <row r="20">
      <c r="A20" s="10" t="n"/>
      <c r="B20" s="10" t="inlineStr">
        <is>
          <t>Subtotal, section B</t>
        </is>
      </c>
      <c r="C20" s="10" t="n"/>
      <c r="D20" s="10" t="n"/>
      <c r="E20" s="10" t="n"/>
      <c r="F20" s="10" t="n"/>
      <c r="G20" s="10" t="n"/>
      <c r="H20" s="10" t="n"/>
      <c r="I20" s="11">
        <f>SUM(I13:I19)</f>
        <v/>
      </c>
      <c r="J20" s="10" t="n"/>
    </row>
    <row r="22" ht="46" customHeight="1">
      <c r="A22" s="4" t="inlineStr">
        <is>
          <t>C</t>
        </is>
      </c>
      <c r="B22" s="4" t="inlineStr">
        <is>
          <t>Bartender work area (sink and ice basin, speed rail, ice machine)</t>
        </is>
      </c>
      <c r="C22" s="4" t="n"/>
      <c r="D22" s="4" t="n"/>
      <c r="E22" s="4" t="inlineStr">
        <is>
          <t>The stainless area behind the counter at the far end, where the bartender washes and scoops ice from the basin and keeps the speed-rail bottles.</t>
        </is>
      </c>
      <c r="F22" s="4" t="n"/>
      <c r="G22" s="4" t="n"/>
      <c r="H22" s="4" t="n"/>
      <c r="I22" s="4" t="n"/>
      <c r="J22" s="4" t="n"/>
    </row>
    <row r="23">
      <c r="A23" s="5" t="n">
        <v>11</v>
      </c>
      <c r="B23" s="5" t="inlineStr">
        <is>
          <t>Stainless work unit</t>
        </is>
      </c>
      <c r="C23" s="5" t="inlineStr">
        <is>
          <t>Behind the counter, bartender side, far end</t>
        </is>
      </c>
      <c r="D23" s="5" t="inlineStr">
        <is>
          <t>1.06 × 0.20 × 0.85</t>
        </is>
      </c>
      <c r="E23" s="5" t="inlineStr">
        <is>
          <t>Holds the sink basin and the speed rail below; one continuous stainless unit</t>
        </is>
      </c>
      <c r="F23" s="5" t="inlineStr">
        <is>
          <t>nos</t>
        </is>
      </c>
      <c r="G23" s="6" t="n">
        <v>1</v>
      </c>
      <c r="H23" s="7" t="n"/>
      <c r="I23" s="8">
        <f>IF(H23="","",G23*H23)</f>
        <v/>
      </c>
      <c r="J23" s="9" t="n"/>
    </row>
    <row r="24">
      <c r="A24" s="5" t="n">
        <v>12</v>
      </c>
      <c r="B24" s="5" t="inlineStr">
        <is>
          <t>Bar sink / ice well basin</t>
        </is>
      </c>
      <c r="C24" s="5" t="inlineStr">
        <is>
          <t>Set into the top of the work unit</t>
        </is>
      </c>
      <c r="D24" s="5" t="inlineStr">
        <is>
          <t>0.38 × 0.16 × 0.16</t>
        </is>
      </c>
      <c r="E24" s="5" t="inlineStr">
        <is>
          <t>One basin used for washing and as the ice well; hot and cold tap, drains to the grey-water line. The vendor may propose a deeper basin (then the unit depth changes)</t>
        </is>
      </c>
      <c r="F24" s="5" t="inlineStr">
        <is>
          <t>nos</t>
        </is>
      </c>
      <c r="G24" s="6" t="n">
        <v>1</v>
      </c>
      <c r="H24" s="7" t="n"/>
      <c r="I24" s="8">
        <f>IF(H24="","",G24*H24)</f>
        <v/>
      </c>
      <c r="J24" s="9" t="n"/>
    </row>
    <row r="25">
      <c r="A25" s="5" t="n">
        <v>13</v>
      </c>
      <c r="B25" s="5" t="inlineStr">
        <is>
          <t>Speed rail</t>
        </is>
      </c>
      <c r="C25" s="5" t="inlineStr">
        <is>
          <t>Along the front of the work unit</t>
        </is>
      </c>
      <c r="D25" s="5" t="inlineStr">
        <is>
          <t>1.06 long</t>
        </is>
      </c>
      <c r="E25" s="5" t="inlineStr">
        <is>
          <t>Holds the everyday spirit bottles within reach</t>
        </is>
      </c>
      <c r="F25" s="5" t="inlineStr">
        <is>
          <t>nos</t>
        </is>
      </c>
      <c r="G25" s="6" t="n">
        <v>1</v>
      </c>
      <c r="H25" s="7" t="n"/>
      <c r="I25" s="8">
        <f>IF(H25="","",G25*H25)</f>
        <v/>
      </c>
      <c r="J25" s="9" t="n"/>
    </row>
    <row r="26">
      <c r="A26" s="5" t="n">
        <v>14</v>
      </c>
      <c r="B26" s="5" t="inlineStr">
        <is>
          <t>Ice machine, under-counter</t>
        </is>
      </c>
      <c r="C26" s="5" t="inlineStr">
        <is>
          <t>Under the counter beside the work unit</t>
        </is>
      </c>
      <c r="D26" s="5" t="inlineStr">
        <is>
          <t>0.50 × 0.55 × 0.80</t>
        </is>
      </c>
      <c r="E26" s="5" t="inlineStr">
        <is>
          <t>About 50 kg a day; filtered cold water and a drain</t>
        </is>
      </c>
      <c r="F26" s="5" t="inlineStr">
        <is>
          <t>nos</t>
        </is>
      </c>
      <c r="G26" s="6" t="n">
        <v>1</v>
      </c>
      <c r="H26" s="7" t="n"/>
      <c r="I26" s="8">
        <f>IF(H26="","",G26*H26)</f>
        <v/>
      </c>
      <c r="J26" s="9" t="n"/>
    </row>
    <row r="27">
      <c r="A27" s="5" t="n">
        <v>15</v>
      </c>
      <c r="B27" s="5" t="inlineStr">
        <is>
          <t>Water filter for the ice machine and the glasswasher</t>
        </is>
      </c>
      <c r="C27" s="5" t="inlineStr">
        <is>
          <t>Inside the cabinet next to the ice machine</t>
        </is>
      </c>
      <c r="D27" s="5" t="inlineStr"/>
      <c r="E27" s="5" t="inlineStr">
        <is>
          <t>Cartridge type; replace on schedule</t>
        </is>
      </c>
      <c r="F27" s="5" t="inlineStr">
        <is>
          <t>set</t>
        </is>
      </c>
      <c r="G27" s="6" t="n">
        <v>1</v>
      </c>
      <c r="H27" s="7" t="n"/>
      <c r="I27" s="8">
        <f>IF(H27="","",G27*H27)</f>
        <v/>
      </c>
      <c r="J27" s="9" t="n"/>
    </row>
    <row r="28">
      <c r="A28" s="10" t="n"/>
      <c r="B28" s="10" t="inlineStr">
        <is>
          <t>Subtotal, section C</t>
        </is>
      </c>
      <c r="C28" s="10" t="n"/>
      <c r="D28" s="10" t="n"/>
      <c r="E28" s="10" t="n"/>
      <c r="F28" s="10" t="n"/>
      <c r="G28" s="10" t="n"/>
      <c r="H28" s="10" t="n"/>
      <c r="I28" s="11">
        <f>SUM(I23:I27)</f>
        <v/>
      </c>
      <c r="J28" s="10" t="n"/>
    </row>
    <row r="30" ht="46" customHeight="1">
      <c r="A30" s="4" t="inlineStr">
        <is>
          <t>D</t>
        </is>
      </c>
      <c r="B30" s="4" t="inlineStr">
        <is>
          <t>Back bar (the wall behind the bartender)</t>
        </is>
      </c>
      <c r="C30" s="4" t="n"/>
      <c r="D30" s="4" t="n"/>
      <c r="E30" s="4" t="inlineStr">
        <is>
          <t>The long unit along the left wall: cabinets below, display shelves and an onyx panel above.</t>
        </is>
      </c>
      <c r="F30" s="4" t="n"/>
      <c r="G30" s="4" t="n"/>
      <c r="H30" s="4" t="n"/>
      <c r="I30" s="4" t="n"/>
      <c r="J30" s="4" t="n"/>
    </row>
    <row r="31">
      <c r="A31" s="5" t="n">
        <v>16</v>
      </c>
      <c r="B31" s="5" t="inlineStr">
        <is>
          <t>Back bar run</t>
        </is>
      </c>
      <c r="C31" s="5" t="inlineStr">
        <is>
          <t>Along the left wall, 2.65 m long</t>
        </is>
      </c>
      <c r="D31" s="5" t="inlineStr">
        <is>
          <t>2.65 × 0.40 × 0.96</t>
        </is>
      </c>
      <c r="E31" s="5" t="inlineStr">
        <is>
          <t>Olive-wood doors and marble top; onyx panel from 0.96 to 2.38 m with a sage panel above</t>
        </is>
      </c>
      <c r="F31" s="5" t="inlineStr">
        <is>
          <t>m</t>
        </is>
      </c>
      <c r="G31" s="6" t="n">
        <v>2.65</v>
      </c>
      <c r="H31" s="7" t="n"/>
      <c r="I31" s="8">
        <f>IF(H31="","",G31*H31)</f>
        <v/>
      </c>
      <c r="J31" s="9" t="n"/>
    </row>
    <row r="32">
      <c r="A32" s="5" t="n">
        <v>17</v>
      </c>
      <c r="B32" s="5" t="inlineStr">
        <is>
          <t>Display shelves for whisky, gin and vodka</t>
        </is>
      </c>
      <c r="C32" s="5" t="inlineStr">
        <is>
          <t>On the wall above the back bar</t>
        </is>
      </c>
      <c r="D32" s="5" t="inlineStr">
        <is>
          <t>1.00 × 0.25</t>
        </is>
      </c>
      <c r="E32" s="5" t="inlineStr">
        <is>
          <t>Two brass-edged tiers at 1.30 and 1.74 m; backlit onyx panel behind</t>
        </is>
      </c>
      <c r="F32" s="5" t="inlineStr">
        <is>
          <t>set</t>
        </is>
      </c>
      <c r="G32" s="6" t="n">
        <v>1</v>
      </c>
      <c r="H32" s="7" t="n"/>
      <c r="I32" s="8">
        <f>IF(H32="","",G32*H32)</f>
        <v/>
      </c>
      <c r="J32" s="9" t="n"/>
    </row>
    <row r="33">
      <c r="A33" s="5" t="n">
        <v>18</v>
      </c>
      <c r="B33" s="5" t="inlineStr">
        <is>
          <t>Infusion jars with a glass shelf</t>
        </is>
      </c>
      <c r="C33" s="5" t="inlineStr">
        <is>
          <t>Door end of the back bar</t>
        </is>
      </c>
      <c r="D33" s="5" t="inlineStr">
        <is>
          <t>0.60 long × 0.22</t>
        </is>
      </c>
      <c r="E33" s="5" t="inlineStr">
        <is>
          <t>Glass shelf at 0.96 m with 3 jars</t>
        </is>
      </c>
      <c r="F33" s="5" t="inlineStr">
        <is>
          <t>set</t>
        </is>
      </c>
      <c r="G33" s="6" t="n">
        <v>1</v>
      </c>
      <c r="H33" s="7" t="n"/>
      <c r="I33" s="8">
        <f>IF(H33="","",G33*H33)</f>
        <v/>
      </c>
      <c r="J33" s="9" t="n"/>
    </row>
    <row r="34">
      <c r="A34" s="5" t="n">
        <v>19</v>
      </c>
      <c r="B34" s="5" t="inlineStr">
        <is>
          <t>Soju display and ON TAP board</t>
        </is>
      </c>
      <c r="C34" s="5" t="inlineStr">
        <is>
          <t>Far end of the back bar, by the pillar</t>
        </is>
      </c>
      <c r="D34" s="5" t="inlineStr"/>
      <c r="E34" s="5" t="inlineStr">
        <is>
          <t>Size by the contractor; not drawn in the model</t>
        </is>
      </c>
      <c r="F34" s="5" t="inlineStr">
        <is>
          <t>set</t>
        </is>
      </c>
      <c r="G34" s="6" t="n">
        <v>1</v>
      </c>
      <c r="H34" s="7" t="n"/>
      <c r="I34" s="8">
        <f>IF(H34="","",G34*H34)</f>
        <v/>
      </c>
      <c r="J34" s="9" t="n"/>
    </row>
    <row r="35">
      <c r="A35" s="5" t="n">
        <v>20</v>
      </c>
      <c r="B35" s="5" t="inlineStr">
        <is>
          <t>Wall TV with bracket</t>
        </is>
      </c>
      <c r="C35" s="5" t="inlineStr">
        <is>
          <t>On the wall above the back bar, door end</t>
        </is>
      </c>
      <c r="D35" s="5" t="inlineStr">
        <is>
          <t>1.14 × 0.62</t>
        </is>
      </c>
      <c r="E35" s="5" t="inlineStr"/>
      <c r="F35" s="5" t="inlineStr">
        <is>
          <t>nos</t>
        </is>
      </c>
      <c r="G35" s="6" t="n">
        <v>1</v>
      </c>
      <c r="H35" s="7" t="n"/>
      <c r="I35" s="8">
        <f>IF(H35="","",G35*H35)</f>
        <v/>
      </c>
      <c r="J35" s="9" t="n"/>
    </row>
    <row r="36">
      <c r="A36" s="5" t="n">
        <v>21</v>
      </c>
      <c r="B36" s="5" t="inlineStr">
        <is>
          <t>Neon sign "settle up here" and two red neon tubes</t>
        </is>
      </c>
      <c r="C36" s="5" t="inlineStr">
        <is>
          <t>Over the POS nook; tubes on the back bar wall</t>
        </is>
      </c>
      <c r="D36" s="5" t="inlineStr">
        <is>
          <t>0.90 × 0.20</t>
        </is>
      </c>
      <c r="E36" s="5" t="inlineStr"/>
      <c r="F36" s="5" t="inlineStr">
        <is>
          <t>set</t>
        </is>
      </c>
      <c r="G36" s="6" t="n">
        <v>1</v>
      </c>
      <c r="H36" s="7" t="n"/>
      <c r="I36" s="8">
        <f>IF(H36="","",G36*H36)</f>
        <v/>
      </c>
      <c r="J36" s="9" t="n"/>
    </row>
    <row r="37">
      <c r="A37" s="10" t="n"/>
      <c r="B37" s="10" t="inlineStr">
        <is>
          <t>Subtotal, section D</t>
        </is>
      </c>
      <c r="C37" s="10" t="n"/>
      <c r="D37" s="10" t="n"/>
      <c r="E37" s="10" t="n"/>
      <c r="F37" s="10" t="n"/>
      <c r="G37" s="10" t="n"/>
      <c r="H37" s="10" t="n"/>
      <c r="I37" s="11">
        <f>SUM(I31:I36)</f>
        <v/>
      </c>
      <c r="J37" s="10" t="n"/>
    </row>
    <row r="39" ht="46" customHeight="1">
      <c r="A39" s="4" t="inlineStr">
        <is>
          <t>E</t>
        </is>
      </c>
      <c r="B39" s="4" t="inlineStr">
        <is>
          <t>Built-in section (glasswasher and drinks cooler)</t>
        </is>
      </c>
      <c r="C39" s="4" t="n"/>
      <c r="D39" s="4" t="n"/>
      <c r="E39" s="4" t="inlineStr">
        <is>
          <t>A deeper stretch of the back bar opposite the bartender work area. The glasswasher and the cooler sit side by side in it.</t>
        </is>
      </c>
      <c r="F39" s="4" t="n"/>
      <c r="G39" s="4" t="n"/>
      <c r="H39" s="4" t="n"/>
      <c r="I39" s="4" t="n"/>
      <c r="J39" s="4" t="n"/>
    </row>
    <row r="40">
      <c r="A40" s="5" t="n">
        <v>22</v>
      </c>
      <c r="B40" s="5" t="inlineStr">
        <is>
          <t>Built-in cabinet for the glasswasher and cooler</t>
        </is>
      </c>
      <c r="C40" s="5" t="inlineStr">
        <is>
          <t>Part of the back bar, 0.55 m deep here</t>
        </is>
      </c>
      <c r="D40" s="5" t="inlineStr">
        <is>
          <t>1.27 × 0.55 × 0.96</t>
        </is>
      </c>
      <c r="E40" s="5" t="inlineStr">
        <is>
          <t>Bartender aisle is about 0.70 m at this point</t>
        </is>
      </c>
      <c r="F40" s="5" t="inlineStr">
        <is>
          <t>nos</t>
        </is>
      </c>
      <c r="G40" s="6" t="n">
        <v>1</v>
      </c>
      <c r="H40" s="7" t="n"/>
      <c r="I40" s="8">
        <f>IF(H40="","",G40*H40)</f>
        <v/>
      </c>
      <c r="J40" s="9" t="n"/>
    </row>
    <row r="41">
      <c r="A41" s="5" t="n">
        <v>23</v>
      </c>
      <c r="B41" s="5" t="inlineStr">
        <is>
          <t>Under-counter glasswasher</t>
        </is>
      </c>
      <c r="C41" s="5" t="inlineStr">
        <is>
          <t>In the built-in cabinet, toward the far end</t>
        </is>
      </c>
      <c r="D41" s="5" t="inlineStr">
        <is>
          <t>0.45 × 0.50 × 0.82</t>
        </is>
      </c>
      <c r="E41" s="5" t="inlineStr">
        <is>
          <t>Drop-down door; hot and cold water and a drain</t>
        </is>
      </c>
      <c r="F41" s="5" t="inlineStr">
        <is>
          <t>nos</t>
        </is>
      </c>
      <c r="G41" s="6" t="n">
        <v>1</v>
      </c>
      <c r="H41" s="7" t="n"/>
      <c r="I41" s="8">
        <f>IF(H41="","",G41*H41)</f>
        <v/>
      </c>
      <c r="J41" s="9" t="n"/>
    </row>
    <row r="42">
      <c r="A42" s="5" t="n">
        <v>24</v>
      </c>
      <c r="B42" s="5" t="inlineStr">
        <is>
          <t>Glass-door drinks cooler</t>
        </is>
      </c>
      <c r="C42" s="5" t="inlineStr">
        <is>
          <t>In the built-in cabinet, toward the door</t>
        </is>
      </c>
      <c r="D42" s="5" t="inlineStr">
        <is>
          <t>0.70 × 0.52 × 0.86</t>
        </is>
      </c>
      <c r="E42" s="5" t="inlineStr">
        <is>
          <t>Lit; for mixers, water and soft drinks; state litres</t>
        </is>
      </c>
      <c r="F42" s="5" t="inlineStr">
        <is>
          <t>nos</t>
        </is>
      </c>
      <c r="G42" s="6" t="n">
        <v>1</v>
      </c>
      <c r="H42" s="7" t="n"/>
      <c r="I42" s="8">
        <f>IF(H42="","",G42*H42)</f>
        <v/>
      </c>
      <c r="J42" s="9" t="n"/>
    </row>
    <row r="43">
      <c r="A43" s="10" t="n"/>
      <c r="B43" s="10" t="inlineStr">
        <is>
          <t>Subtotal, section E</t>
        </is>
      </c>
      <c r="C43" s="10" t="n"/>
      <c r="D43" s="10" t="n"/>
      <c r="E43" s="10" t="n"/>
      <c r="F43" s="10" t="n"/>
      <c r="G43" s="10" t="n"/>
      <c r="H43" s="10" t="n"/>
      <c r="I43" s="11">
        <f>SUM(I40:I42)</f>
        <v/>
      </c>
      <c r="J43" s="10" t="n"/>
    </row>
    <row r="45" ht="46" customHeight="1">
      <c r="A45" s="4" t="inlineStr">
        <is>
          <t>F</t>
        </is>
      </c>
      <c r="B45" s="4" t="inlineStr">
        <is>
          <t>Cash and POS</t>
        </is>
      </c>
      <c r="C45" s="4" t="n"/>
      <c r="D45" s="4" t="n"/>
      <c r="E45" s="4" t="inlineStr">
        <is>
          <t>At the door end of the back bar, where bills are settled.</t>
        </is>
      </c>
      <c r="F45" s="4" t="n"/>
      <c r="G45" s="4" t="n"/>
      <c r="H45" s="4" t="n"/>
      <c r="I45" s="4" t="n"/>
      <c r="J45" s="4" t="n"/>
    </row>
    <row r="46">
      <c r="A46" s="5" t="n">
        <v>25</v>
      </c>
      <c r="B46" s="5" t="inlineStr">
        <is>
          <t>POS nook</t>
        </is>
      </c>
      <c r="C46" s="5" t="inlineStr">
        <is>
          <t>Recessed into the back bar, door end</t>
        </is>
      </c>
      <c r="D46" s="5" t="inlineStr">
        <is>
          <t>0.48 × 0.40 × 0.96 to 1.35</t>
        </is>
      </c>
      <c r="E46" s="5" t="inlineStr">
        <is>
          <t>Timber frame; room for tablet, card machine and receipt printer</t>
        </is>
      </c>
      <c r="F46" s="5" t="inlineStr">
        <is>
          <t>nos</t>
        </is>
      </c>
      <c r="G46" s="6" t="n">
        <v>1</v>
      </c>
      <c r="H46" s="7" t="n"/>
      <c r="I46" s="8">
        <f>IF(H46="","",G46*H46)</f>
        <v/>
      </c>
      <c r="J46" s="9" t="n"/>
    </row>
    <row r="47">
      <c r="A47" s="5" t="n">
        <v>26</v>
      </c>
      <c r="B47" s="5" t="inlineStr">
        <is>
          <t>Cash drawer with small safe</t>
        </is>
      </c>
      <c r="C47" s="5" t="inlineStr">
        <is>
          <t>Under the POS nook</t>
        </is>
      </c>
      <c r="D47" s="5" t="inlineStr">
        <is>
          <t>0.40 × 0.24</t>
        </is>
      </c>
      <c r="E47" s="5" t="inlineStr">
        <is>
          <t>Lockable</t>
        </is>
      </c>
      <c r="F47" s="5" t="inlineStr">
        <is>
          <t>nos</t>
        </is>
      </c>
      <c r="G47" s="6" t="n">
        <v>1</v>
      </c>
      <c r="H47" s="7" t="n"/>
      <c r="I47" s="8">
        <f>IF(H47="","",G47*H47)</f>
        <v/>
      </c>
      <c r="J47" s="9" t="n"/>
    </row>
    <row r="48">
      <c r="A48" s="10" t="n"/>
      <c r="B48" s="10" t="inlineStr">
        <is>
          <t>Subtotal, section F</t>
        </is>
      </c>
      <c r="C48" s="10" t="n"/>
      <c r="D48" s="10" t="n"/>
      <c r="E48" s="10" t="n"/>
      <c r="F48" s="10" t="n"/>
      <c r="G48" s="10" t="n"/>
      <c r="H48" s="10" t="n"/>
      <c r="I48" s="11">
        <f>SUM(I46:I47)</f>
        <v/>
      </c>
      <c r="J48" s="10" t="n"/>
    </row>
    <row r="50" ht="46" customHeight="1">
      <c r="A50" s="4" t="inlineStr">
        <is>
          <t>G</t>
        </is>
      </c>
      <c r="B50" s="4" t="inlineStr">
        <is>
          <t>Server station</t>
        </is>
      </c>
      <c r="C50" s="4" t="n"/>
      <c r="D50" s="4" t="n"/>
      <c r="E50" s="4" t="inlineStr">
        <is>
          <t>On the left wall just past the back bar, two steps from the kitchen door.</t>
        </is>
      </c>
      <c r="F50" s="4" t="n"/>
      <c r="G50" s="4" t="n"/>
      <c r="H50" s="4" t="n"/>
      <c r="I50" s="4" t="n"/>
      <c r="J50" s="4" t="n"/>
    </row>
    <row r="51">
      <c r="A51" s="5" t="n">
        <v>27</v>
      </c>
      <c r="B51" s="5" t="inlineStr">
        <is>
          <t>Server station counter</t>
        </is>
      </c>
      <c r="C51" s="5" t="inlineStr">
        <is>
          <t>Left wall, past the back bar</t>
        </is>
      </c>
      <c r="D51" s="5" t="inlineStr">
        <is>
          <t>0.80 × 0.50 × 0.94</t>
        </is>
      </c>
      <c r="E51" s="5" t="inlineStr">
        <is>
          <t>Black base, olive-wood doors, marble top</t>
        </is>
      </c>
      <c r="F51" s="5" t="inlineStr">
        <is>
          <t>nos</t>
        </is>
      </c>
      <c r="G51" s="6" t="n">
        <v>1</v>
      </c>
      <c r="H51" s="7" t="n"/>
      <c r="I51" s="8">
        <f>IF(H51="","",G51*H51)</f>
        <v/>
      </c>
      <c r="J51" s="9" t="n"/>
    </row>
    <row r="52">
      <c r="A52" s="5" t="n">
        <v>28</v>
      </c>
      <c r="B52" s="5" t="inlineStr">
        <is>
          <t>Wall shelf over the station</t>
        </is>
      </c>
      <c r="C52" s="5" t="inlineStr">
        <is>
          <t>Above the counter</t>
        </is>
      </c>
      <c r="D52" s="5" t="inlineStr">
        <is>
          <t>0.80 × 0.30</t>
        </is>
      </c>
      <c r="E52" s="5" t="inlineStr">
        <is>
          <t>At 1.60 and 1.95 m, for glasses and cutlery</t>
        </is>
      </c>
      <c r="F52" s="5" t="inlineStr">
        <is>
          <t>nos</t>
        </is>
      </c>
      <c r="G52" s="6" t="n">
        <v>2</v>
      </c>
      <c r="H52" s="7" t="n"/>
      <c r="I52" s="8">
        <f>IF(H52="","",G52*H52)</f>
        <v/>
      </c>
      <c r="J52" s="9" t="n"/>
    </row>
    <row r="53">
      <c r="A53" s="5" t="n">
        <v>29</v>
      </c>
      <c r="B53" s="5" t="inlineStr">
        <is>
          <t>Coffee batch brewer with 2 jugs</t>
        </is>
      </c>
      <c r="C53" s="5" t="inlineStr">
        <is>
          <t>On the station counter</t>
        </is>
      </c>
      <c r="D53" s="5" t="inlineStr"/>
      <c r="E53" s="5" t="inlineStr">
        <is>
          <t>About 12 cups a batch; state make and model</t>
        </is>
      </c>
      <c r="F53" s="5" t="inlineStr">
        <is>
          <t>nos</t>
        </is>
      </c>
      <c r="G53" s="6" t="n">
        <v>1</v>
      </c>
      <c r="H53" s="7" t="n"/>
      <c r="I53" s="8">
        <f>IF(H53="","",G53*H53)</f>
        <v/>
      </c>
      <c r="J53" s="9" t="n"/>
    </row>
    <row r="54">
      <c r="A54" s="5" t="n">
        <v>30</v>
      </c>
      <c r="B54" s="5" t="inlineStr">
        <is>
          <t>Water dispenser</t>
        </is>
      </c>
      <c r="C54" s="5" t="inlineStr">
        <is>
          <t>On the station counter</t>
        </is>
      </c>
      <c r="D54" s="5" t="inlineStr"/>
      <c r="E54" s="5" t="inlineStr">
        <is>
          <t>Chilled and ambient</t>
        </is>
      </c>
      <c r="F54" s="5" t="inlineStr">
        <is>
          <t>nos</t>
        </is>
      </c>
      <c r="G54" s="6" t="n">
        <v>1</v>
      </c>
      <c r="H54" s="7" t="n"/>
      <c r="I54" s="8">
        <f>IF(H54="","",G54*H54)</f>
        <v/>
      </c>
      <c r="J54" s="9" t="n"/>
    </row>
    <row r="55">
      <c r="A55" s="5" t="n">
        <v>31</v>
      </c>
      <c r="B55" s="5" t="inlineStr">
        <is>
          <t>Milk warmer</t>
        </is>
      </c>
      <c r="C55" s="5" t="inlineStr">
        <is>
          <t>On the station counter</t>
        </is>
      </c>
      <c r="D55" s="5" t="inlineStr"/>
      <c r="E55" s="5" t="inlineStr">
        <is>
          <t>Small</t>
        </is>
      </c>
      <c r="F55" s="5" t="inlineStr">
        <is>
          <t>nos</t>
        </is>
      </c>
      <c r="G55" s="6" t="n">
        <v>1</v>
      </c>
      <c r="H55" s="7" t="n"/>
      <c r="I55" s="8">
        <f>IF(H55="","",G55*H55)</f>
        <v/>
      </c>
      <c r="J55" s="9" t="n"/>
    </row>
    <row r="56">
      <c r="A56" s="10" t="n"/>
      <c r="B56" s="10" t="inlineStr">
        <is>
          <t>Subtotal, section G</t>
        </is>
      </c>
      <c r="C56" s="10" t="n"/>
      <c r="D56" s="10" t="n"/>
      <c r="E56" s="10" t="n"/>
      <c r="F56" s="10" t="n"/>
      <c r="G56" s="10" t="n"/>
      <c r="H56" s="10" t="n"/>
      <c r="I56" s="11">
        <f>SUM(I51:I55)</f>
        <v/>
      </c>
      <c r="J56" s="10" t="n"/>
    </row>
    <row r="58" ht="46" customHeight="1">
      <c r="A58" s="4" t="inlineStr">
        <is>
          <t>H</t>
        </is>
      </c>
      <c r="B58" s="4" t="inlineStr">
        <is>
          <t>Services and loose items</t>
        </is>
      </c>
      <c r="C58" s="4" t="n"/>
      <c r="D58" s="4" t="n"/>
      <c r="E58" s="4" t="inlineStr">
        <is>
          <t>Not a place on the plan: the power, water and drains the bar needs, the lighting, and things the bartender brings.</t>
        </is>
      </c>
      <c r="F58" s="4" t="n"/>
      <c r="G58" s="4" t="n"/>
      <c r="H58" s="4" t="n"/>
      <c r="I58" s="4" t="n"/>
      <c r="J58" s="4" t="n"/>
    </row>
    <row r="59">
      <c r="A59" s="5" t="n">
        <v>32</v>
      </c>
      <c r="B59" s="5" t="inlineStr">
        <is>
          <t>Power points</t>
        </is>
      </c>
      <c r="C59" s="5" t="inlineStr">
        <is>
          <t>Across the bar and the station</t>
        </is>
      </c>
      <c r="D59" s="5" t="inlineStr"/>
      <c r="E59" s="5" t="inlineStr">
        <is>
          <t>Ice machine, glasswasher, cooler, flash chiller, POS, TV, neon, LED strips, coffee brewer, water dispenser; the chillers and POS on the power backup</t>
        </is>
      </c>
      <c r="F59" s="5" t="inlineStr">
        <is>
          <t>nos</t>
        </is>
      </c>
      <c r="G59" s="6" t="n">
        <v>10</v>
      </c>
      <c r="H59" s="7" t="n"/>
      <c r="I59" s="8">
        <f>IF(H59="","",G59*H59)</f>
        <v/>
      </c>
      <c r="J59" s="9" t="n"/>
    </row>
    <row r="60">
      <c r="A60" s="5" t="n">
        <v>33</v>
      </c>
      <c r="B60" s="5" t="inlineStr">
        <is>
          <t>Water points with isolation valves</t>
        </is>
      </c>
      <c r="C60" s="5" t="inlineStr">
        <is>
          <t>Bar sink, glasswasher, ice machine, coffee brewer</t>
        </is>
      </c>
      <c r="D60" s="5" t="inlineStr"/>
      <c r="E60" s="5" t="inlineStr">
        <is>
          <t>Hot and cold at the sink and glasswasher; filtered cold at the ice machine</t>
        </is>
      </c>
      <c r="F60" s="5" t="inlineStr">
        <is>
          <t>nos</t>
        </is>
      </c>
      <c r="G60" s="6" t="n">
        <v>4</v>
      </c>
      <c r="H60" s="7" t="n"/>
      <c r="I60" s="8">
        <f>IF(H60="","",G60*H60)</f>
        <v/>
      </c>
      <c r="J60" s="9" t="n"/>
    </row>
    <row r="61">
      <c r="A61" s="5" t="n">
        <v>34</v>
      </c>
      <c r="B61" s="5" t="inlineStr">
        <is>
          <t>Drain points to the grey-water line</t>
        </is>
      </c>
      <c r="C61" s="5" t="inlineStr">
        <is>
          <t>Bar sink and ice basin, glasswasher, ice machine</t>
        </is>
      </c>
      <c r="D61" s="5" t="inlineStr"/>
      <c r="E61" s="5" t="inlineStr">
        <is>
          <t>Never to the biodigester</t>
        </is>
      </c>
      <c r="F61" s="5" t="inlineStr">
        <is>
          <t>nos</t>
        </is>
      </c>
      <c r="G61" s="6" t="n">
        <v>4</v>
      </c>
      <c r="H61" s="7" t="n"/>
      <c r="I61" s="8">
        <f>IF(H61="","",G61*H61)</f>
        <v/>
      </c>
      <c r="J61" s="9" t="n"/>
    </row>
    <row r="62">
      <c r="A62" s="5" t="n">
        <v>35</v>
      </c>
      <c r="B62" s="5" t="inlineStr">
        <is>
          <t>Warm LED strips and downlights</t>
        </is>
      </c>
      <c r="C62" s="5" t="inlineStr">
        <is>
          <t>Under both long sides of the counter; 4 over the marble</t>
        </is>
      </c>
      <c r="D62" s="5" t="inlineStr"/>
      <c r="E62" s="5" t="inlineStr">
        <is>
          <t>2,200 K</t>
        </is>
      </c>
      <c r="F62" s="5" t="inlineStr">
        <is>
          <t>lot</t>
        </is>
      </c>
      <c r="G62" s="6" t="n">
        <v>1</v>
      </c>
      <c r="H62" s="7" t="n"/>
      <c r="I62" s="8">
        <f>IF(H62="","",G62*H62)</f>
        <v/>
      </c>
      <c r="J62" s="9" t="n"/>
    </row>
    <row r="63">
      <c r="A63" s="5" t="n">
        <v>36</v>
      </c>
      <c r="B63" s="5" t="inlineStr">
        <is>
          <t>Bar smallware</t>
        </is>
      </c>
      <c r="C63" s="5" t="inlineStr">
        <is>
          <t>Bartender brings or buys</t>
        </is>
      </c>
      <c r="D63" s="5" t="inlineStr"/>
      <c r="E63" s="5" t="inlineStr">
        <is>
          <t>To the bar consultant's list: shakers, jiggers, strainers, muddlers, bar mats</t>
        </is>
      </c>
      <c r="F63" s="5" t="inlineStr">
        <is>
          <t>lot</t>
        </is>
      </c>
      <c r="G63" s="6" t="n">
        <v>1</v>
      </c>
      <c r="H63" s="7" t="n"/>
      <c r="I63" s="8">
        <f>IF(H63="","",G63*H63)</f>
        <v/>
      </c>
      <c r="J63" s="9" t="n"/>
    </row>
    <row r="64">
      <c r="A64" s="5" t="n">
        <v>37</v>
      </c>
      <c r="B64" s="5" t="inlineStr">
        <is>
          <t>Glassware</t>
        </is>
      </c>
      <c r="C64" s="5" t="inlineStr">
        <is>
          <t>Per the drinks menu</t>
        </is>
      </c>
      <c r="D64" s="5" t="inlineStr"/>
      <c r="E64" s="5" t="inlineStr">
        <is>
          <t>Pint, gose, whisky, highball, coupe, shot; see the crockery list (breweries often give branded pint glasses)</t>
        </is>
      </c>
      <c r="F64" s="5" t="inlineStr">
        <is>
          <t>lot</t>
        </is>
      </c>
      <c r="G64" s="6" t="n">
        <v>1</v>
      </c>
      <c r="H64" s="7" t="n"/>
      <c r="I64" s="8">
        <f>IF(H64="","",G64*H64)</f>
        <v/>
      </c>
      <c r="J64" s="9" t="n"/>
    </row>
    <row r="65">
      <c r="A65" s="10" t="n"/>
      <c r="B65" s="10" t="inlineStr">
        <is>
          <t>Subtotal, section H</t>
        </is>
      </c>
      <c r="C65" s="10" t="n"/>
      <c r="D65" s="10" t="n"/>
      <c r="E65" s="10" t="n"/>
      <c r="F65" s="10" t="n"/>
      <c r="G65" s="10" t="n"/>
      <c r="H65" s="10" t="n"/>
      <c r="I65" s="11">
        <f>SUM(I59:I64)</f>
        <v/>
      </c>
      <c r="J65" s="10" t="n"/>
    </row>
    <row r="67">
      <c r="B67" s="12" t="inlineStr">
        <is>
          <t>Total of all sections (ex-GST)</t>
        </is>
      </c>
      <c r="I67" s="13">
        <f>I10+I20+I28+I37+I43+I48+I56+I65</f>
        <v/>
      </c>
    </row>
    <row r="68">
      <c r="B68" s="12" t="inlineStr">
        <is>
          <t>Freight and unloading to Betalbatim</t>
        </is>
      </c>
      <c r="I68" s="14" t="n"/>
    </row>
    <row r="69">
      <c r="B69" s="12" t="inlineStr">
        <is>
          <t>Installation and connections not included above</t>
        </is>
      </c>
      <c r="I69" s="14" t="n"/>
    </row>
    <row r="70">
      <c r="B70" s="12" t="inlineStr">
        <is>
          <t>GST rate (%)</t>
        </is>
      </c>
      <c r="I70" s="14" t="n">
        <v>18</v>
      </c>
    </row>
    <row r="71">
      <c r="B71" s="12" t="inlineStr">
        <is>
          <t>GST</t>
        </is>
      </c>
      <c r="I71" s="13">
        <f>ROUND((I67+I68+I69)*I70/100,2)</f>
        <v/>
      </c>
    </row>
    <row r="72">
      <c r="B72" s="15" t="inlineStr">
        <is>
          <t>Grand total including GST</t>
        </is>
      </c>
      <c r="I72" s="16">
        <f>I67+I68+I69+I71</f>
        <v/>
      </c>
    </row>
  </sheetData>
  <mergeCells count="2">
    <mergeCell ref="A3:J3"/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2026-10-18T17:23:59Z</dcterms:created>
  <dcterms:modified xsi:type="dcterms:W3CDTF">2026-10-18T17:23:59Z</dcterms:modified>
</cp:coreProperties>
</file>