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r BOQ" sheetId="1" state="visible" r:id="rId1"/>
  </sheets>
  <definedNames>
    <definedName name="_xlnm.Print_Titles" localSheetId="0">'Bar BOQ'!$5:$5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#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2A2420"/>
      </patternFill>
    </fill>
    <fill>
      <patternFill patternType="solid">
        <fgColor rgb="00EFE6D3"/>
      </patternFill>
    </fill>
    <fill>
      <patternFill patternType="solid">
        <fgColor rgb="00FFF9E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4" fontId="0" fillId="4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3" fillId="0" borderId="1" pivotButton="0" quotePrefix="0" xfId="0"/>
    <xf numFmtId="4" fontId="3" fillId="0" borderId="1" pivotButton="0" quotePrefix="0" xfId="0"/>
    <xf numFmtId="0" fontId="3" fillId="0" borderId="0" pivotButton="0" quotePrefix="0" xfId="0"/>
    <xf numFmtId="4" fontId="3" fillId="0" borderId="0" pivotButton="0" quotePrefix="0" xfId="0"/>
    <xf numFmtId="4" fontId="3" fillId="4" borderId="0" pivotButton="0" quotePrefix="0" xfId="0"/>
    <xf numFmtId="0" fontId="3" fillId="3" borderId="0" pivotButton="0" quotePrefix="0" xfId="0"/>
    <xf numFmtId="4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58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4" customWidth="1" min="2" max="2"/>
    <col width="24" customWidth="1" min="3" max="3"/>
    <col width="58" customWidth="1" min="4" max="4"/>
    <col width="6" customWidth="1" min="5" max="5"/>
    <col width="7" customWidth="1" min="6" max="6"/>
    <col width="12" customWidth="1" min="7" max="7"/>
    <col width="14" customWidth="1" min="8" max="8"/>
    <col width="28" customWidth="1" min="9" max="9"/>
  </cols>
  <sheetData>
    <row r="1">
      <c r="A1" s="1" t="inlineStr">
        <is>
          <t>Bill of quantities · bar and server station · Betalbatim pub</t>
        </is>
      </c>
    </row>
    <row r="2" ht="30" customHeight="1">
      <c r="A2" s="2" t="inlineStr">
        <is>
          <t>Shop 4, Tulip Residency, Gandaulim, Salcete, South Goa. Bar on the left wall as in the Simplex model. Sizes in mm (width × depth × height), the space available; measure on site. Item numbers match the A3 drawing.</t>
        </is>
      </c>
    </row>
    <row r="3" ht="30" customHeight="1">
      <c r="A3" s="2" t="inlineStr">
        <is>
          <t>Fill the yellow cells (rate, make/model, remarks). Amounts and totals calculate. Rates ex-GST; freight, installation and the GST rate go in the lines at the bottom.</t>
        </is>
      </c>
    </row>
    <row r="5">
      <c r="A5" s="3" t="inlineStr">
        <is>
          <t>No.</t>
        </is>
      </c>
      <c r="B5" s="3" t="inlineStr">
        <is>
          <t>Item / type</t>
        </is>
      </c>
      <c r="C5" s="3" t="inlineStr">
        <is>
          <t>Size W × D × H (mm)</t>
        </is>
      </c>
      <c r="D5" s="3" t="inlineStr">
        <is>
          <t>Capacity, rating, specification</t>
        </is>
      </c>
      <c r="E5" s="3" t="inlineStr">
        <is>
          <t>Unit</t>
        </is>
      </c>
      <c r="F5" s="3" t="inlineStr">
        <is>
          <t>Qty</t>
        </is>
      </c>
      <c r="G5" s="3" t="inlineStr">
        <is>
          <t>Rate (₹)</t>
        </is>
      </c>
      <c r="H5" s="3" t="inlineStr">
        <is>
          <t>Amount (₹)</t>
        </is>
      </c>
      <c r="I5" s="3" t="inlineStr">
        <is>
          <t>Make / model / remarks</t>
        </is>
      </c>
    </row>
    <row r="6" ht="44" customHeight="1">
      <c r="A6" s="4" t="n"/>
      <c r="B6" s="4" t="inlineStr">
        <is>
          <t>Bar carpentry and fabrication</t>
        </is>
      </c>
      <c r="C6" s="4" t="n"/>
      <c r="D6" s="4" t="inlineStr">
        <is>
          <t>Contractor and carpenter. Marble tops, black bases and brass details as in the 3D model (singhgenics.github.io/Simplex). Sizes are the space available: the fabricator measures on site.</t>
        </is>
      </c>
      <c r="E6" s="4" t="n"/>
      <c r="F6" s="4" t="n"/>
      <c r="G6" s="4" t="n"/>
      <c r="H6" s="4" t="n"/>
      <c r="I6" s="4" t="n"/>
    </row>
    <row r="7">
      <c r="A7" s="5" t="n">
        <v>1</v>
      </c>
      <c r="B7" s="5" t="inlineStr">
        <is>
          <t>Bar counter</t>
        </is>
      </c>
      <c r="C7" s="5" t="inlineStr">
        <is>
          <t>2,200 × 750 × 1,040</t>
        </is>
      </c>
      <c r="D7" s="5" t="inlineStr">
        <is>
          <t>Marble top, square end facing the door; onyx front edge-lit by an LED panel behind black mesh; black base; brass foot rail; houses the keg cabinet (next line)</t>
        </is>
      </c>
      <c r="E7" s="5" t="inlineStr">
        <is>
          <t>nos</t>
        </is>
      </c>
      <c r="F7" s="6" t="n">
        <v>1</v>
      </c>
      <c r="G7" s="7" t="n"/>
      <c r="H7" s="8">
        <f>IF(G7="","",F7*G7)</f>
        <v/>
      </c>
      <c r="I7" s="9" t="n"/>
    </row>
    <row r="8">
      <c r="A8" s="5" t="n">
        <v>2</v>
      </c>
      <c r="B8" s="5" t="inlineStr">
        <is>
          <t>Keg cabinet inside the counter, door end</t>
        </is>
      </c>
      <c r="C8" s="5" t="inlineStr">
        <is>
          <t>1,100 × 630 × 900</t>
        </is>
      </c>
      <c r="D8" s="5" t="inlineStr">
        <is>
          <t>Two louvred timber doors (the flash chiller needs air), roll-out base for 3 kegs</t>
        </is>
      </c>
      <c r="E8" s="5" t="inlineStr">
        <is>
          <t>nos</t>
        </is>
      </c>
      <c r="F8" s="6" t="n">
        <v>1</v>
      </c>
      <c r="G8" s="7" t="n"/>
      <c r="H8" s="8">
        <f>IF(G8="","",F8*G8)</f>
        <v/>
      </c>
      <c r="I8" s="9" t="n"/>
    </row>
    <row r="9">
      <c r="A9" s="5" t="n">
        <v>3</v>
      </c>
      <c r="B9" s="5" t="inlineStr">
        <is>
          <t>Bar sink unit with ice well and speed rail</t>
        </is>
      </c>
      <c r="C9" s="5" t="inlineStr">
        <is>
          <t>500 long × 850 high</t>
        </is>
      </c>
      <c r="D9" s="5" t="inlineStr">
        <is>
          <t>Stainless, bartender side, with a speed rail for bottles</t>
        </is>
      </c>
      <c r="E9" s="5" t="inlineStr">
        <is>
          <t>nos</t>
        </is>
      </c>
      <c r="F9" s="6" t="n">
        <v>1</v>
      </c>
      <c r="G9" s="7" t="n"/>
      <c r="H9" s="8">
        <f>IF(G9="","",F9*G9)</f>
        <v/>
      </c>
      <c r="I9" s="9" t="n"/>
    </row>
    <row r="10">
      <c r="A10" s="5" t="n">
        <v>4</v>
      </c>
      <c r="B10" s="5" t="inlineStr">
        <is>
          <t>Back bar run</t>
        </is>
      </c>
      <c r="C10" s="5" t="inlineStr">
        <is>
          <t>2,650 × 400 × 960</t>
        </is>
      </c>
      <c r="D10" s="5" t="inlineStr">
        <is>
          <t>Olive-wood doors, marble top; onyx panel from 960 to 2,380 mm and sage panel above, along the left wall</t>
        </is>
      </c>
      <c r="E10" s="5" t="inlineStr">
        <is>
          <t>m</t>
        </is>
      </c>
      <c r="F10" s="6" t="n">
        <v>2.65</v>
      </c>
      <c r="G10" s="7" t="n"/>
      <c r="H10" s="8">
        <f>IF(G10="","",F10*G10)</f>
        <v/>
      </c>
      <c r="I10" s="9" t="n"/>
    </row>
    <row r="11">
      <c r="A11" s="5" t="n">
        <v>5</v>
      </c>
      <c r="B11" s="5" t="inlineStr">
        <is>
          <t>Built-in section of the back bar (holds the glasswasher and the cooler)</t>
        </is>
      </c>
      <c r="C11" s="5" t="inlineStr">
        <is>
          <t>1,270 long × 550 deep × 960</t>
        </is>
      </c>
      <c r="D11" s="5" t="inlineStr">
        <is>
          <t>Deeper stretch opposite the bar sink; bartender aisle here is about 700 mm</t>
        </is>
      </c>
      <c r="E11" s="5" t="inlineStr">
        <is>
          <t>nos</t>
        </is>
      </c>
      <c r="F11" s="6" t="n">
        <v>1</v>
      </c>
      <c r="G11" s="7" t="n"/>
      <c r="H11" s="8">
        <f>IF(G11="","",F11*G11)</f>
        <v/>
      </c>
      <c r="I11" s="9" t="n"/>
    </row>
    <row r="12">
      <c r="A12" s="5" t="n">
        <v>6</v>
      </c>
      <c r="B12" s="5" t="inlineStr">
        <is>
          <t>Back bar display shelves with LED and onyx glow panel</t>
        </is>
      </c>
      <c r="C12" s="5" t="inlineStr">
        <is>
          <t>1,000 × 250</t>
        </is>
      </c>
      <c r="D12" s="5" t="inlineStr">
        <is>
          <t>Two brass-edged timber tiers at 1,300 and 1,740 mm for whisky, gin and vodka bottles; backlit onyx panel behind</t>
        </is>
      </c>
      <c r="E12" s="5" t="inlineStr">
        <is>
          <t>set</t>
        </is>
      </c>
      <c r="F12" s="6" t="n">
        <v>1</v>
      </c>
      <c r="G12" s="7" t="n"/>
      <c r="H12" s="8">
        <f>IF(G12="","",F12*G12)</f>
        <v/>
      </c>
      <c r="I12" s="9" t="n"/>
    </row>
    <row r="13">
      <c r="A13" s="5" t="n">
        <v>7</v>
      </c>
      <c r="B13" s="5" t="inlineStr">
        <is>
          <t>Infusion jars with glass shelf, door end</t>
        </is>
      </c>
      <c r="C13" s="5" t="inlineStr">
        <is>
          <t>600 long × 220</t>
        </is>
      </c>
      <c r="D13" s="5" t="inlineStr">
        <is>
          <t>Glass shelf at 960 mm with 3 jars; the CO₂ cylinder stands in the cabinet below</t>
        </is>
      </c>
      <c r="E13" s="5" t="inlineStr">
        <is>
          <t>set</t>
        </is>
      </c>
      <c r="F13" s="6" t="n">
        <v>1</v>
      </c>
      <c r="G13" s="7" t="n"/>
      <c r="H13" s="8">
        <f>IF(G13="","",F13*G13)</f>
        <v/>
      </c>
      <c r="I13" s="9" t="n"/>
    </row>
    <row r="14">
      <c r="A14" s="5" t="n">
        <v>8</v>
      </c>
      <c r="B14" s="5" t="inlineStr">
        <is>
          <t>Soju display riser and ON TAP board, pillar end</t>
        </is>
      </c>
      <c r="C14" s="5" t="inlineStr"/>
      <c r="D14" s="5" t="inlineStr">
        <is>
          <t>Size by the contractor</t>
        </is>
      </c>
      <c r="E14" s="5" t="inlineStr">
        <is>
          <t>set</t>
        </is>
      </c>
      <c r="F14" s="6" t="n">
        <v>1</v>
      </c>
      <c r="G14" s="7" t="n"/>
      <c r="H14" s="8">
        <f>IF(G14="","",F14*G14)</f>
        <v/>
      </c>
      <c r="I14" s="9" t="n"/>
    </row>
    <row r="15">
      <c r="A15" s="5" t="n">
        <v>9</v>
      </c>
      <c r="B15" s="5" t="inlineStr">
        <is>
          <t>Floating glass rack over the counter</t>
        </is>
      </c>
      <c r="C15" s="5" t="inlineStr">
        <is>
          <t>740 × 2,000</t>
        </is>
      </c>
      <c r="D15" s="5" t="inlineStr">
        <is>
          <t>Brass frame hung from the slab on 4 black rods; lower tier at 2,300 mm (stemware upside down on brass rails), upper tier at 2,580 mm (glass shelf for pints and highballs); warm LED strips and 4 downlights</t>
        </is>
      </c>
      <c r="E15" s="5" t="inlineStr">
        <is>
          <t>nos</t>
        </is>
      </c>
      <c r="F15" s="6" t="n">
        <v>1</v>
      </c>
      <c r="G15" s="7" t="n"/>
      <c r="H15" s="8">
        <f>IF(G15="","",F15*G15)</f>
        <v/>
      </c>
      <c r="I15" s="9" t="n"/>
    </row>
    <row r="16">
      <c r="A16" s="5" t="n">
        <v>10</v>
      </c>
      <c r="B16" s="5" t="inlineStr">
        <is>
          <t>POS nook recessed into the back bar, door end</t>
        </is>
      </c>
      <c r="C16" s="5" t="inlineStr">
        <is>
          <t>480 long × 400 deep × 960 to 1,350</t>
        </is>
      </c>
      <c r="D16" s="5" t="inlineStr">
        <is>
          <t>Timber frame; space for tablet, card machine and receipt printer</t>
        </is>
      </c>
      <c r="E16" s="5" t="inlineStr">
        <is>
          <t>nos</t>
        </is>
      </c>
      <c r="F16" s="6" t="n">
        <v>1</v>
      </c>
      <c r="G16" s="7" t="n"/>
      <c r="H16" s="8">
        <f>IF(G16="","",F16*G16)</f>
        <v/>
      </c>
      <c r="I16" s="9" t="n"/>
    </row>
    <row r="17">
      <c r="A17" s="5" t="n">
        <v>11</v>
      </c>
      <c r="B17" s="5" t="inlineStr">
        <is>
          <t>Cash drawer with small safe, under the POS nook</t>
        </is>
      </c>
      <c r="C17" s="5" t="inlineStr">
        <is>
          <t>400 × 240</t>
        </is>
      </c>
      <c r="D17" s="5" t="inlineStr">
        <is>
          <t>Lockable</t>
        </is>
      </c>
      <c r="E17" s="5" t="inlineStr">
        <is>
          <t>nos</t>
        </is>
      </c>
      <c r="F17" s="6" t="n">
        <v>1</v>
      </c>
      <c r="G17" s="7" t="n"/>
      <c r="H17" s="8">
        <f>IF(G17="","",F17*G17)</f>
        <v/>
      </c>
      <c r="I17" s="9" t="n"/>
    </row>
    <row r="18">
      <c r="A18" s="5" t="n">
        <v>12</v>
      </c>
      <c r="B18" s="5" t="inlineStr">
        <is>
          <t>Bar stool, velvet high-back</t>
        </is>
      </c>
      <c r="C18" s="5" t="inlineStr"/>
      <c r="D18" s="5" t="inlineStr">
        <is>
          <t>4 stools, 600 mm apart; seat height to suit the 1,040 mm counter</t>
        </is>
      </c>
      <c r="E18" s="5" t="inlineStr">
        <is>
          <t>nos</t>
        </is>
      </c>
      <c r="F18" s="6" t="n">
        <v>4</v>
      </c>
      <c r="G18" s="7" t="n"/>
      <c r="H18" s="8">
        <f>IF(G18="","",F18*G18)</f>
        <v/>
      </c>
      <c r="I18" s="9" t="n"/>
    </row>
    <row r="19">
      <c r="A19" s="5" t="n">
        <v>13</v>
      </c>
      <c r="B19" s="5" t="inlineStr">
        <is>
          <t>Wall TV with bracket</t>
        </is>
      </c>
      <c r="C19" s="5" t="inlineStr">
        <is>
          <t>1,140 × 620</t>
        </is>
      </c>
      <c r="D19" s="5" t="inlineStr">
        <is>
          <t>On the wall above the back bar at the door end</t>
        </is>
      </c>
      <c r="E19" s="5" t="inlineStr">
        <is>
          <t>nos</t>
        </is>
      </c>
      <c r="F19" s="6" t="n">
        <v>1</v>
      </c>
      <c r="G19" s="7" t="n"/>
      <c r="H19" s="8">
        <f>IF(G19="","",F19*G19)</f>
        <v/>
      </c>
      <c r="I19" s="9" t="n"/>
    </row>
    <row r="20">
      <c r="A20" s="5" t="n">
        <v>14</v>
      </c>
      <c r="B20" s="5" t="inlineStr">
        <is>
          <t>Neon sign "settle up here"</t>
        </is>
      </c>
      <c r="C20" s="5" t="inlineStr">
        <is>
          <t>900 × 200</t>
        </is>
      </c>
      <c r="D20" s="5" t="inlineStr">
        <is>
          <t>Over the POS nook; plus 2 red vertical neon tubes on the back bar wall</t>
        </is>
      </c>
      <c r="E20" s="5" t="inlineStr">
        <is>
          <t>set</t>
        </is>
      </c>
      <c r="F20" s="6" t="n">
        <v>1</v>
      </c>
      <c r="G20" s="7" t="n"/>
      <c r="H20" s="8">
        <f>IF(G20="","",F20*G20)</f>
        <v/>
      </c>
      <c r="I20" s="9" t="n"/>
    </row>
    <row r="21">
      <c r="A21" s="10" t="n"/>
      <c r="B21" s="10" t="inlineStr">
        <is>
          <t>Subtotal, section A</t>
        </is>
      </c>
      <c r="C21" s="10" t="n"/>
      <c r="D21" s="10" t="n"/>
      <c r="E21" s="10" t="n"/>
      <c r="F21" s="10" t="n"/>
      <c r="G21" s="10" t="n"/>
      <c r="H21" s="11">
        <f>SUM(H7:H20)</f>
        <v/>
      </c>
      <c r="I21" s="10" t="n"/>
    </row>
    <row r="23" ht="44" customHeight="1">
      <c r="A23" s="4" t="n"/>
      <c r="B23" s="4" t="inlineStr">
        <is>
          <t>Bar equipment (branded)</t>
        </is>
      </c>
      <c r="C23" s="4" t="n"/>
      <c r="D23" s="4" t="inlineStr">
        <is>
          <t>State make and model, kW or litres, and who services it in Goa. Sizes are the space available: do not quote a wider unit.</t>
        </is>
      </c>
      <c r="E23" s="4" t="n"/>
      <c r="F23" s="4" t="n"/>
      <c r="G23" s="4" t="n"/>
      <c r="H23" s="4" t="n"/>
      <c r="I23" s="4" t="n"/>
    </row>
    <row r="24">
      <c r="A24" s="5" t="n">
        <v>15</v>
      </c>
      <c r="B24" s="5" t="inlineStr">
        <is>
          <t>Beer font, brass, 3 taps on one font</t>
        </is>
      </c>
      <c r="C24" s="5" t="inlineStr">
        <is>
          <t>Ø 90 × 420 high</t>
        </is>
      </c>
      <c r="D24" s="5" t="inlineStr">
        <is>
          <t>Taps for 3 craft beers; tap handles to the brand; the brewery may lend this (get it in writing)</t>
        </is>
      </c>
      <c r="E24" s="5" t="inlineStr">
        <is>
          <t>nos</t>
        </is>
      </c>
      <c r="F24" s="6" t="n">
        <v>1</v>
      </c>
      <c r="G24" s="7" t="n"/>
      <c r="H24" s="8">
        <f>IF(G24="","",F24*G24)</f>
        <v/>
      </c>
      <c r="I24" s="9" t="n"/>
    </row>
    <row r="25">
      <c r="A25" s="5" t="n">
        <v>16</v>
      </c>
      <c r="B25" s="5" t="inlineStr">
        <is>
          <t>Flash chiller, under-counter, self-contained</t>
        </is>
      </c>
      <c r="C25" s="5" t="inlineStr">
        <is>
          <t>500 × 420 × 570</t>
        </is>
      </c>
      <c r="D25" s="5" t="inlineStr">
        <is>
          <t>No outdoor unit; rated for room-temperature kegs in the tropics; chills the beer on its way to the taps</t>
        </is>
      </c>
      <c r="E25" s="5" t="inlineStr">
        <is>
          <t>nos</t>
        </is>
      </c>
      <c r="F25" s="6" t="n">
        <v>1</v>
      </c>
      <c r="G25" s="7" t="n"/>
      <c r="H25" s="8">
        <f>IF(G25="","",F25*G25)</f>
        <v/>
      </c>
      <c r="I25" s="9" t="n"/>
    </row>
    <row r="26">
      <c r="A26" s="5" t="n">
        <v>17</v>
      </c>
      <c r="B26" s="5" t="inlineStr">
        <is>
          <t>Keg 20 L on tap, with coupler</t>
        </is>
      </c>
      <c r="C26" s="5" t="inlineStr">
        <is>
          <t>Ø 240 × 420</t>
        </is>
      </c>
      <c r="D26" s="5" t="inlineStr">
        <is>
          <t>3 on tap (one per tap), on the roll-out base; supplied by the brewery</t>
        </is>
      </c>
      <c r="E26" s="5" t="inlineStr">
        <is>
          <t>nos</t>
        </is>
      </c>
      <c r="F26" s="6" t="n">
        <v>3</v>
      </c>
      <c r="G26" s="7" t="n"/>
      <c r="H26" s="8">
        <f>IF(G26="","",F26*G26)</f>
        <v/>
      </c>
      <c r="I26" s="9" t="n"/>
    </row>
    <row r="27">
      <c r="A27" s="5" t="n">
        <v>18</v>
      </c>
      <c r="B27" s="5" t="inlineStr">
        <is>
          <t>Beer line, insulated, chiller to font</t>
        </is>
      </c>
      <c r="C27" s="5" t="inlineStr"/>
      <c r="D27" s="5" t="inlineStr">
        <is>
          <t>About 2 m with fittings</t>
        </is>
      </c>
      <c r="E27" s="5" t="inlineStr">
        <is>
          <t>lot</t>
        </is>
      </c>
      <c r="F27" s="6" t="n">
        <v>1</v>
      </c>
      <c r="G27" s="7" t="n"/>
      <c r="H27" s="8">
        <f>IF(G27="","",F27*G27)</f>
        <v/>
      </c>
      <c r="I27" s="9" t="n"/>
    </row>
    <row r="28">
      <c r="A28" s="5" t="n">
        <v>19</v>
      </c>
      <c r="B28" s="5" t="inlineStr">
        <is>
          <t>CO₂ cylinder 6 kg with regulator and chain</t>
        </is>
      </c>
      <c r="C28" s="5" t="inlineStr">
        <is>
          <t>Ø 150 × 670</t>
        </is>
      </c>
      <c r="D28" s="5" t="inlineStr">
        <is>
          <t>In the back-bar cabinet under the infusion jars, with a low vent grille</t>
        </is>
      </c>
      <c r="E28" s="5" t="inlineStr">
        <is>
          <t>nos</t>
        </is>
      </c>
      <c r="F28" s="6" t="n">
        <v>1</v>
      </c>
      <c r="G28" s="7" t="n"/>
      <c r="H28" s="8">
        <f>IF(G28="","",F28*G28)</f>
        <v/>
      </c>
      <c r="I28" s="9" t="n"/>
    </row>
    <row r="29">
      <c r="A29" s="5" t="n">
        <v>20</v>
      </c>
      <c r="B29" s="5" t="inlineStr">
        <is>
          <t>Low-mounted CO₂ alarm</t>
        </is>
      </c>
      <c r="C29" s="5" t="inlineStr"/>
      <c r="D29" s="5" t="inlineStr">
        <is>
          <t>CO₂ is heavier than air</t>
        </is>
      </c>
      <c r="E29" s="5" t="inlineStr">
        <is>
          <t>nos</t>
        </is>
      </c>
      <c r="F29" s="6" t="n">
        <v>1</v>
      </c>
      <c r="G29" s="7" t="n"/>
      <c r="H29" s="8">
        <f>IF(G29="","",F29*G29)</f>
        <v/>
      </c>
      <c r="I29" s="9" t="n"/>
    </row>
    <row r="30">
      <c r="A30" s="5" t="n">
        <v>21</v>
      </c>
      <c r="B30" s="5" t="inlineStr">
        <is>
          <t>Under-counter glasswasher, drop-down door</t>
        </is>
      </c>
      <c r="C30" s="5" t="inlineStr">
        <is>
          <t>450 × 500 × 820</t>
        </is>
      </c>
      <c r="D30" s="5" t="inlineStr">
        <is>
          <t>Built into the back bar; hot and cold water and a drain</t>
        </is>
      </c>
      <c r="E30" s="5" t="inlineStr">
        <is>
          <t>nos</t>
        </is>
      </c>
      <c r="F30" s="6" t="n">
        <v>1</v>
      </c>
      <c r="G30" s="7" t="n"/>
      <c r="H30" s="8">
        <f>IF(G30="","",F30*G30)</f>
        <v/>
      </c>
      <c r="I30" s="9" t="n"/>
    </row>
    <row r="31">
      <c r="A31" s="5" t="n">
        <v>22</v>
      </c>
      <c r="B31" s="5" t="inlineStr">
        <is>
          <t>Glass-door cooler for mixers, water and soft drinks</t>
        </is>
      </c>
      <c r="C31" s="5" t="inlineStr">
        <is>
          <t>700 × 520 × 860</t>
        </is>
      </c>
      <c r="D31" s="5" t="inlineStr">
        <is>
          <t>Built into the back bar; lit, with shelves; state litres</t>
        </is>
      </c>
      <c r="E31" s="5" t="inlineStr">
        <is>
          <t>nos</t>
        </is>
      </c>
      <c r="F31" s="6" t="n">
        <v>1</v>
      </c>
      <c r="G31" s="7" t="n"/>
      <c r="H31" s="8">
        <f>IF(G31="","",F31*G31)</f>
        <v/>
      </c>
      <c r="I31" s="9" t="n"/>
    </row>
    <row r="32">
      <c r="A32" s="5" t="n">
        <v>23</v>
      </c>
      <c r="B32" s="5" t="inlineStr">
        <is>
          <t>Ice machine, under-counter</t>
        </is>
      </c>
      <c r="C32" s="5" t="inlineStr">
        <is>
          <t>500 × 550 × 800</t>
        </is>
      </c>
      <c r="D32" s="5" t="inlineStr">
        <is>
          <t>About 50 kg a day; water filter and a drain</t>
        </is>
      </c>
      <c r="E32" s="5" t="inlineStr">
        <is>
          <t>nos</t>
        </is>
      </c>
      <c r="F32" s="6" t="n">
        <v>1</v>
      </c>
      <c r="G32" s="7" t="n"/>
      <c r="H32" s="8">
        <f>IF(G32="","",F32*G32)</f>
        <v/>
      </c>
      <c r="I32" s="9" t="n"/>
    </row>
    <row r="33">
      <c r="A33" s="5" t="n">
        <v>24</v>
      </c>
      <c r="B33" s="5" t="inlineStr">
        <is>
          <t>Water filter cartridge for the ice machine and the glasswasher</t>
        </is>
      </c>
      <c r="C33" s="5" t="inlineStr"/>
      <c r="D33" s="5" t="inlineStr"/>
      <c r="E33" s="5" t="inlineStr">
        <is>
          <t>set</t>
        </is>
      </c>
      <c r="F33" s="6" t="n">
        <v>1</v>
      </c>
      <c r="G33" s="7" t="n"/>
      <c r="H33" s="8">
        <f>IF(G33="","",F33*G33)</f>
        <v/>
      </c>
      <c r="I33" s="9" t="n"/>
    </row>
    <row r="34">
      <c r="A34" s="5" t="n">
        <v>25</v>
      </c>
      <c r="B34" s="5" t="inlineStr">
        <is>
          <t>Bar smallware</t>
        </is>
      </c>
      <c r="C34" s="5" t="inlineStr"/>
      <c r="D34" s="5" t="inlineStr">
        <is>
          <t>To the bar consultant's list: shakers, jiggers, strainers, muddlers, bar mats, speed-rail bottles</t>
        </is>
      </c>
      <c r="E34" s="5" t="inlineStr">
        <is>
          <t>lot</t>
        </is>
      </c>
      <c r="F34" s="6" t="n">
        <v>1</v>
      </c>
      <c r="G34" s="7" t="n"/>
      <c r="H34" s="8">
        <f>IF(G34="","",F34*G34)</f>
        <v/>
      </c>
      <c r="I34" s="9" t="n"/>
    </row>
    <row r="35">
      <c r="A35" s="5" t="n">
        <v>26</v>
      </c>
      <c r="B35" s="5" t="inlineStr">
        <is>
          <t>Glassware per the drinks menu</t>
        </is>
      </c>
      <c r="C35" s="5" t="inlineStr"/>
      <c r="D35" s="5" t="inlineStr">
        <is>
          <t>Pint, gose, whisky, highball, coupe, shot; see the crockery list (breweries often give branded pint glasses)</t>
        </is>
      </c>
      <c r="E35" s="5" t="inlineStr">
        <is>
          <t>lot</t>
        </is>
      </c>
      <c r="F35" s="6" t="n">
        <v>1</v>
      </c>
      <c r="G35" s="7" t="n"/>
      <c r="H35" s="8">
        <f>IF(G35="","",F35*G35)</f>
        <v/>
      </c>
      <c r="I35" s="9" t="n"/>
    </row>
    <row r="36">
      <c r="A36" s="10" t="n"/>
      <c r="B36" s="10" t="inlineStr">
        <is>
          <t>Subtotal, section B</t>
        </is>
      </c>
      <c r="C36" s="10" t="n"/>
      <c r="D36" s="10" t="n"/>
      <c r="E36" s="10" t="n"/>
      <c r="F36" s="10" t="n"/>
      <c r="G36" s="10" t="n"/>
      <c r="H36" s="11">
        <f>SUM(H24:H35)</f>
        <v/>
      </c>
      <c r="I36" s="10" t="n"/>
    </row>
    <row r="38" ht="44" customHeight="1">
      <c r="A38" s="4" t="n"/>
      <c r="B38" s="4" t="inlineStr">
        <is>
          <t>Server station (next to the bar)</t>
        </is>
      </c>
      <c r="C38" s="4" t="n"/>
      <c r="D38" s="4" t="inlineStr">
        <is>
          <t>Left wall, just past the back bar, two steps from the kitchen door.</t>
        </is>
      </c>
      <c r="E38" s="4" t="n"/>
      <c r="F38" s="4" t="n"/>
      <c r="G38" s="4" t="n"/>
      <c r="H38" s="4" t="n"/>
      <c r="I38" s="4" t="n"/>
    </row>
    <row r="39">
      <c r="A39" s="5" t="n">
        <v>27</v>
      </c>
      <c r="B39" s="5" t="inlineStr">
        <is>
          <t>Server station counter</t>
        </is>
      </c>
      <c r="C39" s="5" t="inlineStr">
        <is>
          <t>800 × 500 × 940</t>
        </is>
      </c>
      <c r="D39" s="5" t="inlineStr">
        <is>
          <t>Black base, olive-wood doors, marble top</t>
        </is>
      </c>
      <c r="E39" s="5" t="inlineStr">
        <is>
          <t>nos</t>
        </is>
      </c>
      <c r="F39" s="6" t="n">
        <v>1</v>
      </c>
      <c r="G39" s="7" t="n"/>
      <c r="H39" s="8">
        <f>IF(G39="","",F39*G39)</f>
        <v/>
      </c>
      <c r="I39" s="9" t="n"/>
    </row>
    <row r="40">
      <c r="A40" s="5" t="n">
        <v>28</v>
      </c>
      <c r="B40" s="5" t="inlineStr">
        <is>
          <t>Wall shelf over the station</t>
        </is>
      </c>
      <c r="C40" s="5" t="inlineStr">
        <is>
          <t>800 × 300</t>
        </is>
      </c>
      <c r="D40" s="5" t="inlineStr">
        <is>
          <t>At 1,600 mm and 1,950 mm, for glasses and cutlery</t>
        </is>
      </c>
      <c r="E40" s="5" t="inlineStr">
        <is>
          <t>nos</t>
        </is>
      </c>
      <c r="F40" s="6" t="n">
        <v>2</v>
      </c>
      <c r="G40" s="7" t="n"/>
      <c r="H40" s="8">
        <f>IF(G40="","",F40*G40)</f>
        <v/>
      </c>
      <c r="I40" s="9" t="n"/>
    </row>
    <row r="41">
      <c r="A41" s="5" t="n">
        <v>29</v>
      </c>
      <c r="B41" s="5" t="inlineStr">
        <is>
          <t>Commercial filter-coffee batch brewer with 2 jugs and warming plates</t>
        </is>
      </c>
      <c r="C41" s="5" t="inlineStr"/>
      <c r="D41" s="5" t="inlineStr">
        <is>
          <t>About 12 cups a batch; state make and model</t>
        </is>
      </c>
      <c r="E41" s="5" t="inlineStr">
        <is>
          <t>nos</t>
        </is>
      </c>
      <c r="F41" s="6" t="n">
        <v>1</v>
      </c>
      <c r="G41" s="7" t="n"/>
      <c r="H41" s="8">
        <f>IF(G41="","",F41*G41)</f>
        <v/>
      </c>
      <c r="I41" s="9" t="n"/>
    </row>
    <row r="42">
      <c r="A42" s="5" t="n">
        <v>30</v>
      </c>
      <c r="B42" s="5" t="inlineStr">
        <is>
          <t>Water dispenser</t>
        </is>
      </c>
      <c r="C42" s="5" t="inlineStr"/>
      <c r="D42" s="5" t="inlineStr">
        <is>
          <t>Chilled and ambient</t>
        </is>
      </c>
      <c r="E42" s="5" t="inlineStr">
        <is>
          <t>nos</t>
        </is>
      </c>
      <c r="F42" s="6" t="n">
        <v>1</v>
      </c>
      <c r="G42" s="7" t="n"/>
      <c r="H42" s="8">
        <f>IF(G42="","",F42*G42)</f>
        <v/>
      </c>
      <c r="I42" s="9" t="n"/>
    </row>
    <row r="43">
      <c r="A43" s="5" t="n">
        <v>31</v>
      </c>
      <c r="B43" s="5" t="inlineStr">
        <is>
          <t>Milk warmer</t>
        </is>
      </c>
      <c r="C43" s="5" t="inlineStr"/>
      <c r="D43" s="5" t="inlineStr">
        <is>
          <t>Small</t>
        </is>
      </c>
      <c r="E43" s="5" t="inlineStr">
        <is>
          <t>nos</t>
        </is>
      </c>
      <c r="F43" s="6" t="n">
        <v>1</v>
      </c>
      <c r="G43" s="7" t="n"/>
      <c r="H43" s="8">
        <f>IF(G43="","",F43*G43)</f>
        <v/>
      </c>
      <c r="I43" s="9" t="n"/>
    </row>
    <row r="44">
      <c r="A44" s="10" t="n"/>
      <c r="B44" s="10" t="inlineStr">
        <is>
          <t>Subtotal, section C</t>
        </is>
      </c>
      <c r="C44" s="10" t="n"/>
      <c r="D44" s="10" t="n"/>
      <c r="E44" s="10" t="n"/>
      <c r="F44" s="10" t="n"/>
      <c r="G44" s="10" t="n"/>
      <c r="H44" s="11">
        <f>SUM(H39:H43)</f>
        <v/>
      </c>
      <c r="I44" s="10" t="n"/>
    </row>
    <row r="46" ht="44" customHeight="1">
      <c r="A46" s="4" t="n"/>
      <c r="B46" s="4" t="inlineStr">
        <is>
          <t>Bar services</t>
        </is>
      </c>
      <c r="C46" s="4" t="n"/>
      <c r="D46" s="4" t="inlineStr">
        <is>
          <t>Licensed electrician and plumber. Bar and kitchen drains go to the grey-water line (never the biodigester).</t>
        </is>
      </c>
      <c r="E46" s="4" t="n"/>
      <c r="F46" s="4" t="n"/>
      <c r="G46" s="4" t="n"/>
      <c r="H46" s="4" t="n"/>
      <c r="I46" s="4" t="n"/>
    </row>
    <row r="47">
      <c r="A47" s="5" t="n">
        <v>32</v>
      </c>
      <c r="B47" s="5" t="inlineStr">
        <is>
          <t>Power points, bar and station</t>
        </is>
      </c>
      <c r="C47" s="5" t="inlineStr"/>
      <c r="D47" s="5" t="inlineStr">
        <is>
          <t>Ice machine, glasswasher, cooler, flash chiller, POS, TV, neon and LED strips, coffee brewer, water dispenser; the chillers and POS are on the power backup</t>
        </is>
      </c>
      <c r="E47" s="5" t="inlineStr">
        <is>
          <t>nos</t>
        </is>
      </c>
      <c r="F47" s="6" t="n">
        <v>10</v>
      </c>
      <c r="G47" s="7" t="n"/>
      <c r="H47" s="8">
        <f>IF(G47="","",F47*G47)</f>
        <v/>
      </c>
      <c r="I47" s="9" t="n"/>
    </row>
    <row r="48">
      <c r="A48" s="5" t="n">
        <v>33</v>
      </c>
      <c r="B48" s="5" t="inlineStr">
        <is>
          <t>Water points with isolation valves</t>
        </is>
      </c>
      <c r="C48" s="5" t="inlineStr"/>
      <c r="D48" s="5" t="inlineStr">
        <is>
          <t>Bar sink (hot and cold), glasswasher (hot and cold), ice machine (cold, filtered), coffee brewer (cold)</t>
        </is>
      </c>
      <c r="E48" s="5" t="inlineStr">
        <is>
          <t>nos</t>
        </is>
      </c>
      <c r="F48" s="6" t="n">
        <v>4</v>
      </c>
      <c r="G48" s="7" t="n"/>
      <c r="H48" s="8">
        <f>IF(G48="","",F48*G48)</f>
        <v/>
      </c>
      <c r="I48" s="9" t="n"/>
    </row>
    <row r="49">
      <c r="A49" s="5" t="n">
        <v>34</v>
      </c>
      <c r="B49" s="5" t="inlineStr">
        <is>
          <t>Drain points to the grey-water line</t>
        </is>
      </c>
      <c r="C49" s="5" t="inlineStr"/>
      <c r="D49" s="5" t="inlineStr">
        <is>
          <t>Bar sink, glasswasher, ice machine, ice well</t>
        </is>
      </c>
      <c r="E49" s="5" t="inlineStr">
        <is>
          <t>nos</t>
        </is>
      </c>
      <c r="F49" s="6" t="n">
        <v>4</v>
      </c>
      <c r="G49" s="7" t="n"/>
      <c r="H49" s="8">
        <f>IF(G49="","",F49*G49)</f>
        <v/>
      </c>
      <c r="I49" s="9" t="n"/>
    </row>
    <row r="50">
      <c r="A50" s="5" t="n">
        <v>35</v>
      </c>
      <c r="B50" s="5" t="inlineStr">
        <is>
          <t>Warm LED strips (2,200 K) under both long sides of the counter, and 4 warm downlights over the marble</t>
        </is>
      </c>
      <c r="C50" s="5" t="inlineStr"/>
      <c r="D50" s="5" t="inlineStr"/>
      <c r="E50" s="5" t="inlineStr">
        <is>
          <t>lot</t>
        </is>
      </c>
      <c r="F50" s="6" t="n">
        <v>1</v>
      </c>
      <c r="G50" s="7" t="n"/>
      <c r="H50" s="8">
        <f>IF(G50="","",F50*G50)</f>
        <v/>
      </c>
      <c r="I50" s="9" t="n"/>
    </row>
    <row r="51">
      <c r="A51" s="10" t="n"/>
      <c r="B51" s="10" t="inlineStr">
        <is>
          <t>Subtotal, section D</t>
        </is>
      </c>
      <c r="C51" s="10" t="n"/>
      <c r="D51" s="10" t="n"/>
      <c r="E51" s="10" t="n"/>
      <c r="F51" s="10" t="n"/>
      <c r="G51" s="10" t="n"/>
      <c r="H51" s="11">
        <f>SUM(H47:H50)</f>
        <v/>
      </c>
      <c r="I51" s="10" t="n"/>
    </row>
    <row r="53">
      <c r="B53" s="12" t="inlineStr">
        <is>
          <t>Total of all sections (ex-GST)</t>
        </is>
      </c>
      <c r="H53" s="13">
        <f>H21+H36+H44+H51</f>
        <v/>
      </c>
    </row>
    <row r="54">
      <c r="B54" s="12" t="inlineStr">
        <is>
          <t>Freight and unloading to Betalbatim</t>
        </is>
      </c>
      <c r="H54" s="14" t="n"/>
    </row>
    <row r="55">
      <c r="B55" s="12" t="inlineStr">
        <is>
          <t>Installation and connections not included above</t>
        </is>
      </c>
      <c r="H55" s="14" t="n"/>
    </row>
    <row r="56">
      <c r="B56" s="12" t="inlineStr">
        <is>
          <t>GST rate (%)</t>
        </is>
      </c>
      <c r="H56" s="14" t="n">
        <v>18</v>
      </c>
    </row>
    <row r="57">
      <c r="B57" s="12" t="inlineStr">
        <is>
          <t>GST</t>
        </is>
      </c>
      <c r="H57" s="13">
        <f>ROUND((H53+H54+H55)*H56/100,2)</f>
        <v/>
      </c>
    </row>
    <row r="58">
      <c r="B58" s="15" t="inlineStr">
        <is>
          <t>Grand total including GST</t>
        </is>
      </c>
      <c r="H58" s="16">
        <f>H53+H54+H55+H57</f>
        <v/>
      </c>
    </row>
  </sheetData>
  <mergeCells count="2">
    <mergeCell ref="A3:I3"/>
    <mergeCell ref="A2:I2"/>
  </mergeCell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2026-10-18T16:43:29Z</dcterms:created>
  <dcterms:modified xsi:type="dcterms:W3CDTF">2026-10-18T16:43:29Z</dcterms:modified>
</cp:coreProperties>
</file>